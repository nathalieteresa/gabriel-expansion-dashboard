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7000" tabRatio="600" firstSheet="0" activeTab="0" autoFilterDateGrouping="1"/>
  </bookViews>
  <sheets>
    <sheet xmlns:r="http://schemas.openxmlformats.org/officeDocument/2006/relationships" name="Sales_Transactions" sheetId="1" state="visible" r:id="rId1"/>
    <sheet xmlns:r="http://schemas.openxmlformats.org/officeDocument/2006/relationships" name="Products" sheetId="2" state="visible" r:id="rId2"/>
    <sheet xmlns:r="http://schemas.openxmlformats.org/officeDocument/2006/relationships" name="Inventory" sheetId="3" state="visible" r:id="rId3"/>
    <sheet xmlns:r="http://schemas.openxmlformats.org/officeDocument/2006/relationships" name="Stores" sheetId="4" state="visible" r:id="rId4"/>
    <sheet xmlns:r="http://schemas.openxmlformats.org/officeDocument/2006/relationships" name="Assumption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\$#,##0.00"/>
    <numFmt numFmtId="166" formatCode="0.0%"/>
    <numFmt numFmtId="167" formatCode="yyyy-mm-dd h:mm:ss"/>
  </numFmts>
  <fonts count="2">
    <font>
      <name val="Carlito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C6A052"/>
      </patternFill>
    </fill>
    <fill>
      <patternFill patternType="solid">
        <fgColor rgb="FF1111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164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/>
    </xf>
    <xf numFmtId="9" fontId="1" fillId="2" borderId="0" applyAlignment="1" pivotButton="0" quotePrefix="0" xfId="0">
      <alignment horizontal="center" vertical="center"/>
    </xf>
    <xf numFmtId="166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167" fontId="0" fillId="0" borderId="0" pivotButton="0" quotePrefix="0" xfId="0"/>
  </cellXfs>
  <cellStyles count="1">
    <cellStyle name="Normal" xfId="0" builtinId="0"/>
  </cellStyles>
  <dxfs count="3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7F1D1D"/>
      </font>
      <fill>
        <patternFill patternType="solid">
          <bgColor rgb="FFFECACA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SalesTransactionsTable" displayName="SalesTransactionsTable" ref="A1:S151" headerRowCount="1">
  <autoFilter ref="A1:S151"/>
  <tableColumns count="19">
    <tableColumn id="1" name="Transaction_ID"/>
    <tableColumn id="2" name="Date"/>
    <tableColumn id="3" name="Store_ID"/>
    <tableColumn id="4" name="Salon_Location"/>
    <tableColumn id="5" name="Brand"/>
    <tableColumn id="6" name="Product_ID"/>
    <tableColumn id="7" name="Product_Name"/>
    <tableColumn id="8" name="Category"/>
    <tableColumn id="9" name="Stylist"/>
    <tableColumn id="10" name="Units_Sold"/>
    <tableColumn id="11" name="Unit_Cost"/>
    <tableColumn id="12" name="Retail_Price"/>
    <tableColumn id="13" name="Discount_%"/>
    <tableColumn id="14" name="Net_Sales"/>
    <tableColumn id="15" name="COGS"/>
    <tableColumn id="16" name="Gross_Profit"/>
    <tableColumn id="17" name="Gross_Margin_%"/>
    <tableColumn id="18" name="Payment_Method"/>
    <tableColumn id="19" name="Customer_Typ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roductsTable" displayName="ProductsTable" ref="A1:I11" headerRowCount="1">
  <tableColumns count="9">
    <tableColumn id="1" name="Product_ID"/>
    <tableColumn id="2" name="Brand"/>
    <tableColumn id="3" name="Product_Name"/>
    <tableColumn id="4" name="Category"/>
    <tableColumn id="5" name="Size"/>
    <tableColumn id="6" name="Unit_Cost"/>
    <tableColumn id="7" name="Retail_Price"/>
    <tableColumn id="8" name="Supplier"/>
    <tableColumn id="9" name="Activ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ventoryTable" displayName="InventoryTable" ref="A1:O21" headerRowCount="1">
  <tableColumns count="15">
    <tableColumn id="1" name="Inventory_ID"/>
    <tableColumn id="2" name="Store_ID"/>
    <tableColumn id="3" name="Salon_Location"/>
    <tableColumn id="4" name="Brand"/>
    <tableColumn id="5" name="Product_ID"/>
    <tableColumn id="6" name="Product_Name"/>
    <tableColumn id="7" name="Category"/>
    <tableColumn id="8" name="Opening_Stock"/>
    <tableColumn id="9" name="Units_Received"/>
    <tableColumn id="10" name="Units_Sold"/>
    <tableColumn id="11" name="Current_Stock"/>
    <tableColumn id="12" name="Reorder_Point"/>
    <tableColumn id="13" name="Recommended_Reorder_Qty"/>
    <tableColumn id="14" name="Stock_Status"/>
    <tableColumn id="15" name="Last_Received_D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toresTable" displayName="StoresTable" ref="A1:F3" headerRowCount="1">
  <tableColumns count="6">
    <tableColumn id="1" name="Store_ID"/>
    <tableColumn id="2" name="Salon_Location"/>
    <tableColumn id="3" name="City"/>
    <tableColumn id="4" name="Channel"/>
    <tableColumn id="5" name="Manager"/>
    <tableColumn id="6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tabSelected="1" workbookViewId="0">
      <selection activeCell="I1" sqref="I1"/>
    </sheetView>
  </sheetViews>
  <sheetFormatPr baseColWidth="10" defaultColWidth="8.83203125" defaultRowHeight="15"/>
  <cols>
    <col width="14.83203125" customWidth="1" min="1" max="1"/>
    <col width="6.5" customWidth="1" min="2" max="2"/>
    <col width="9.6640625" customWidth="1" min="3" max="3"/>
    <col width="28" customWidth="1" min="4" max="4"/>
    <col width="7.5" customWidth="1" min="5" max="5"/>
    <col width="11.83203125" customWidth="1" min="6" max="6"/>
    <col width="24" customWidth="1" min="7" max="7"/>
    <col width="12.6640625" customWidth="1" min="8" max="8"/>
    <col width="14.33203125" customWidth="1" min="9" max="9"/>
    <col width="11.5" customWidth="1" min="10" max="10"/>
    <col width="10.6640625" customWidth="1" min="11" max="11"/>
    <col width="12.33203125" customWidth="1" min="12" max="12"/>
    <col width="13.83203125" customWidth="1" min="13" max="13"/>
    <col width="10.83203125" customWidth="1" min="14" max="14"/>
    <col width="13.1640625" customWidth="1" min="15" max="15"/>
    <col width="18.6640625" customWidth="1" min="16" max="16"/>
    <col width="22.83203125" customWidth="1" min="17" max="17"/>
    <col width="24.33203125" customWidth="1" min="18" max="18"/>
    <col width="31.5" customWidth="1" min="19" max="19"/>
  </cols>
  <sheetData>
    <row r="1" ht="37.25" customHeight="1">
      <c r="A1" s="2" t="inlineStr">
        <is>
          <t>Transaction_ID</t>
        </is>
      </c>
      <c r="B1" s="3" t="inlineStr">
        <is>
          <t>Date</t>
        </is>
      </c>
      <c r="C1" s="2" t="inlineStr">
        <is>
          <t>Store_ID</t>
        </is>
      </c>
      <c r="D1" s="2" t="inlineStr">
        <is>
          <t>Salon_Location</t>
        </is>
      </c>
      <c r="E1" s="2" t="inlineStr">
        <is>
          <t>Brand</t>
        </is>
      </c>
      <c r="F1" s="2" t="inlineStr">
        <is>
          <t>Product_ID</t>
        </is>
      </c>
      <c r="G1" s="2" t="inlineStr">
        <is>
          <t>Product_Name</t>
        </is>
      </c>
      <c r="H1" s="2" t="inlineStr">
        <is>
          <t>Category</t>
        </is>
      </c>
      <c r="I1" s="2" t="inlineStr">
        <is>
          <t>Stylist</t>
        </is>
      </c>
      <c r="J1" s="2" t="inlineStr">
        <is>
          <t>Units_Sold</t>
        </is>
      </c>
      <c r="K1" s="4" t="inlineStr">
        <is>
          <t>Unit_Cost</t>
        </is>
      </c>
      <c r="L1" s="4" t="inlineStr">
        <is>
          <t>Retail_Price</t>
        </is>
      </c>
      <c r="M1" s="5" t="inlineStr">
        <is>
          <t>Discount_%</t>
        </is>
      </c>
      <c r="N1" s="4" t="inlineStr">
        <is>
          <t>Net_Sales</t>
        </is>
      </c>
      <c r="O1" s="4" t="inlineStr">
        <is>
          <t>COGS</t>
        </is>
      </c>
      <c r="P1" s="4" t="inlineStr">
        <is>
          <t>Gross_Profit</t>
        </is>
      </c>
      <c r="Q1" s="6" t="inlineStr">
        <is>
          <t>Gross_Margin_%</t>
        </is>
      </c>
      <c r="R1" s="2" t="inlineStr">
        <is>
          <t>Payment_Method</t>
        </is>
      </c>
      <c r="S1" s="2" t="inlineStr">
        <is>
          <t>Customer_Type</t>
        </is>
      </c>
      <c r="T1" s="1" t="n"/>
      <c r="U1" s="1" t="n"/>
      <c r="V1" s="1" t="n"/>
      <c r="W1" s="1" t="n"/>
      <c r="X1" s="1" t="n"/>
      <c r="Y1" s="1" t="n"/>
      <c r="Z1" s="1" t="n"/>
    </row>
    <row r="2">
      <c r="A2" t="inlineStr">
        <is>
          <t>TRX-0001</t>
        </is>
      </c>
      <c r="B2" t="n">
        <v>46093</v>
      </c>
      <c r="C2" t="inlineStr">
        <is>
          <t>CG-001</t>
        </is>
      </c>
      <c r="D2" t="inlineStr">
        <is>
          <t>Gabriel Samra Coral Gables</t>
        </is>
      </c>
      <c r="E2" t="inlineStr">
        <is>
          <t>Truss</t>
        </is>
      </c>
      <c r="F2" t="inlineStr">
        <is>
          <t>TRU-CND-002</t>
        </is>
      </c>
      <c r="G2" t="inlineStr">
        <is>
          <t>Infusion Conditioner</t>
        </is>
      </c>
      <c r="H2" t="inlineStr">
        <is>
          <t>Hair Care</t>
        </is>
      </c>
      <c r="I2" t="inlineStr">
        <is>
          <t>Magaly</t>
        </is>
      </c>
      <c r="J2" t="n">
        <v>1</v>
      </c>
      <c r="K2" t="n">
        <v>15.25</v>
      </c>
      <c r="L2" t="n">
        <v>34</v>
      </c>
      <c r="M2" t="n">
        <v>0</v>
      </c>
      <c r="N2">
        <f>J2*L2*(1-M2)</f>
        <v/>
      </c>
      <c r="O2">
        <f>J2*K2</f>
        <v/>
      </c>
      <c r="P2">
        <f>N2-O2</f>
        <v/>
      </c>
      <c r="Q2">
        <f>IF(N2=0,0,P2/N2)</f>
        <v/>
      </c>
      <c r="R2" t="inlineStr">
        <is>
          <t>Card</t>
        </is>
      </c>
      <c r="S2" t="inlineStr">
        <is>
          <t>Stylist Recommendation</t>
        </is>
      </c>
    </row>
    <row r="3">
      <c r="A3" t="inlineStr">
        <is>
          <t>TRX-0002</t>
        </is>
      </c>
      <c r="B3" t="n">
        <v>46046</v>
      </c>
      <c r="C3" t="inlineStr">
        <is>
          <t>CG-001</t>
        </is>
      </c>
      <c r="D3" t="inlineStr">
        <is>
          <t>Gabriel Samra Coral Gables</t>
        </is>
      </c>
      <c r="E3" t="inlineStr">
        <is>
          <t>Truss</t>
        </is>
      </c>
      <c r="F3" t="inlineStr">
        <is>
          <t>TRU-SHP-001</t>
        </is>
      </c>
      <c r="G3" t="inlineStr">
        <is>
          <t>Infusion Shampoo</t>
        </is>
      </c>
      <c r="H3" t="inlineStr">
        <is>
          <t>Hair Care</t>
        </is>
      </c>
      <c r="I3" t="inlineStr">
        <is>
          <t>Melia</t>
        </is>
      </c>
      <c r="J3" t="n">
        <v>1</v>
      </c>
      <c r="K3" t="n">
        <v>14.5</v>
      </c>
      <c r="L3" t="n">
        <v>32</v>
      </c>
      <c r="M3" t="n">
        <v>0</v>
      </c>
      <c r="N3">
        <f>J3*L3*(1-M3)</f>
        <v/>
      </c>
      <c r="O3">
        <f>J3*K3</f>
        <v/>
      </c>
      <c r="P3">
        <f>N3-O3</f>
        <v/>
      </c>
      <c r="Q3">
        <f>IF(N3=0,0,P3/N3)</f>
        <v/>
      </c>
      <c r="R3" t="inlineStr">
        <is>
          <t>Cash</t>
        </is>
      </c>
      <c r="S3" t="inlineStr">
        <is>
          <t>Stylist Recommendation</t>
        </is>
      </c>
    </row>
    <row r="4">
      <c r="A4" t="inlineStr">
        <is>
          <t>TRX-0003</t>
        </is>
      </c>
      <c r="B4" t="n">
        <v>46094</v>
      </c>
      <c r="C4" t="inlineStr">
        <is>
          <t>DR-001</t>
        </is>
      </c>
      <c r="D4" t="inlineStr">
        <is>
          <t>Gabriel Samra Doral</t>
        </is>
      </c>
      <c r="E4" t="inlineStr">
        <is>
          <t>Truss</t>
        </is>
      </c>
      <c r="F4" t="inlineStr">
        <is>
          <t>TRU-OIL-004</t>
        </is>
      </c>
      <c r="G4" t="inlineStr">
        <is>
          <t>Deluxe Prime Oil</t>
        </is>
      </c>
      <c r="H4" t="inlineStr">
        <is>
          <t>Finishing</t>
        </is>
      </c>
      <c r="I4" t="inlineStr">
        <is>
          <t>Isaac</t>
        </is>
      </c>
      <c r="J4" t="n">
        <v>2</v>
      </c>
      <c r="K4" t="n">
        <v>18</v>
      </c>
      <c r="L4" t="n">
        <v>42</v>
      </c>
      <c r="M4" t="n">
        <v>0</v>
      </c>
      <c r="N4">
        <f>J4*L4*(1-M4)</f>
        <v/>
      </c>
      <c r="O4">
        <f>J4*K4</f>
        <v/>
      </c>
      <c r="P4">
        <f>N4-O4</f>
        <v/>
      </c>
      <c r="Q4">
        <f>IF(N4=0,0,P4/N4)</f>
        <v/>
      </c>
      <c r="R4" t="inlineStr">
        <is>
          <t>Gift Card</t>
        </is>
      </c>
      <c r="S4" t="inlineStr">
        <is>
          <t>Post-Service Retail</t>
        </is>
      </c>
    </row>
    <row r="5">
      <c r="A5" t="inlineStr">
        <is>
          <t>TRX-0004</t>
        </is>
      </c>
      <c r="B5" t="n">
        <v>46078</v>
      </c>
      <c r="C5" t="inlineStr">
        <is>
          <t>CG-001</t>
        </is>
      </c>
      <c r="D5" t="inlineStr">
        <is>
          <t>Gabriel Samra Coral Gables</t>
        </is>
      </c>
      <c r="E5" t="inlineStr">
        <is>
          <t>Truss</t>
        </is>
      </c>
      <c r="F5" t="inlineStr">
        <is>
          <t>TRU-SER-005</t>
        </is>
      </c>
      <c r="G5" t="inlineStr">
        <is>
          <t>Night Spa Serum</t>
        </is>
      </c>
      <c r="H5" t="inlineStr">
        <is>
          <t>Treatment</t>
        </is>
      </c>
      <c r="I5" t="inlineStr">
        <is>
          <t>Magaly</t>
        </is>
      </c>
      <c r="J5" t="n">
        <v>3</v>
      </c>
      <c r="K5" t="n">
        <v>19.75</v>
      </c>
      <c r="L5" t="n">
        <v>48</v>
      </c>
      <c r="M5" t="n">
        <v>0</v>
      </c>
      <c r="N5">
        <f>J5*L5*(1-M5)</f>
        <v/>
      </c>
      <c r="O5">
        <f>J5*K5</f>
        <v/>
      </c>
      <c r="P5">
        <f>N5-O5</f>
        <v/>
      </c>
      <c r="Q5">
        <f>IF(N5=0,0,P5/N5)</f>
        <v/>
      </c>
      <c r="R5" t="inlineStr">
        <is>
          <t>Gift Card</t>
        </is>
      </c>
      <c r="S5" t="inlineStr">
        <is>
          <t>Existing Client</t>
        </is>
      </c>
    </row>
    <row r="6">
      <c r="A6" t="inlineStr">
        <is>
          <t>TRX-0005</t>
        </is>
      </c>
      <c r="B6" t="n">
        <v>46090</v>
      </c>
      <c r="C6" t="inlineStr">
        <is>
          <t>DR-001</t>
        </is>
      </c>
      <c r="D6" t="inlineStr">
        <is>
          <t>Gabriel Samra Doral</t>
        </is>
      </c>
      <c r="E6" t="inlineStr">
        <is>
          <t>Sutra</t>
        </is>
      </c>
      <c r="F6" t="inlineStr">
        <is>
          <t>SUT-FIR-001</t>
        </is>
      </c>
      <c r="G6" t="inlineStr">
        <is>
          <t>Mini Flat Iron</t>
        </is>
      </c>
      <c r="H6" t="inlineStr">
        <is>
          <t>Hot Tools</t>
        </is>
      </c>
      <c r="I6" t="inlineStr">
        <is>
          <t>Magaly</t>
        </is>
      </c>
      <c r="J6" t="n">
        <v>2</v>
      </c>
      <c r="K6" t="n">
        <v>38</v>
      </c>
      <c r="L6" t="n">
        <v>89</v>
      </c>
      <c r="M6" t="n">
        <v>0.05</v>
      </c>
      <c r="N6">
        <f>J6*L6*(1-M6)</f>
        <v/>
      </c>
      <c r="O6">
        <f>J6*K6</f>
        <v/>
      </c>
      <c r="P6">
        <f>N6-O6</f>
        <v/>
      </c>
      <c r="Q6">
        <f>IF(N6=0,0,P6/N6)</f>
        <v/>
      </c>
      <c r="R6" t="inlineStr">
        <is>
          <t>Gift Card</t>
        </is>
      </c>
      <c r="S6" t="inlineStr">
        <is>
          <t>Existing Client</t>
        </is>
      </c>
    </row>
    <row r="7">
      <c r="A7" t="inlineStr">
        <is>
          <t>TRX-0006</t>
        </is>
      </c>
      <c r="B7" t="n">
        <v>46115</v>
      </c>
      <c r="C7" t="inlineStr">
        <is>
          <t>DR-001</t>
        </is>
      </c>
      <c r="D7" t="inlineStr">
        <is>
          <t>Gabriel Samra Doral</t>
        </is>
      </c>
      <c r="E7" t="inlineStr">
        <is>
          <t>Sutra</t>
        </is>
      </c>
      <c r="F7" t="inlineStr">
        <is>
          <t>SUT-DRY-004</t>
        </is>
      </c>
      <c r="G7" t="inlineStr">
        <is>
          <t>Professional Hair Dryer</t>
        </is>
      </c>
      <c r="H7" t="inlineStr">
        <is>
          <t>Hot Tools</t>
        </is>
      </c>
      <c r="I7" t="inlineStr">
        <is>
          <t>Melia</t>
        </is>
      </c>
      <c r="J7" t="n">
        <v>1</v>
      </c>
      <c r="K7" t="n">
        <v>62</v>
      </c>
      <c r="L7" t="n">
        <v>149</v>
      </c>
      <c r="M7" t="n">
        <v>0.05</v>
      </c>
      <c r="N7">
        <f>J7*L7*(1-M7)</f>
        <v/>
      </c>
      <c r="O7">
        <f>J7*K7</f>
        <v/>
      </c>
      <c r="P7">
        <f>N7-O7</f>
        <v/>
      </c>
      <c r="Q7">
        <f>IF(N7=0,0,P7/N7)</f>
        <v/>
      </c>
      <c r="R7" t="inlineStr">
        <is>
          <t>Cash</t>
        </is>
      </c>
      <c r="S7" t="inlineStr">
        <is>
          <t>Post-Service Retail</t>
        </is>
      </c>
    </row>
    <row r="8">
      <c r="A8" t="inlineStr">
        <is>
          <t>TRX-0007</t>
        </is>
      </c>
      <c r="B8" t="n">
        <v>46048</v>
      </c>
      <c r="C8" t="inlineStr">
        <is>
          <t>CG-001</t>
        </is>
      </c>
      <c r="D8" t="inlineStr">
        <is>
          <t>Gabriel Samra Coral Gables</t>
        </is>
      </c>
      <c r="E8" t="inlineStr">
        <is>
          <t>Truss</t>
        </is>
      </c>
      <c r="F8" t="inlineStr">
        <is>
          <t>TRU-CND-002</t>
        </is>
      </c>
      <c r="G8" t="inlineStr">
        <is>
          <t>Infusion Conditioner</t>
        </is>
      </c>
      <c r="H8" t="inlineStr">
        <is>
          <t>Hair Care</t>
        </is>
      </c>
      <c r="I8" t="inlineStr">
        <is>
          <t>Melia</t>
        </is>
      </c>
      <c r="J8" t="n">
        <v>1</v>
      </c>
      <c r="K8" t="n">
        <v>15.25</v>
      </c>
      <c r="L8" t="n">
        <v>34</v>
      </c>
      <c r="M8" t="n">
        <v>0</v>
      </c>
      <c r="N8">
        <f>J8*L8*(1-M8)</f>
        <v/>
      </c>
      <c r="O8">
        <f>J8*K8</f>
        <v/>
      </c>
      <c r="P8">
        <f>N8-O8</f>
        <v/>
      </c>
      <c r="Q8">
        <f>IF(N8=0,0,P8/N8)</f>
        <v/>
      </c>
      <c r="R8" t="inlineStr">
        <is>
          <t>Cash</t>
        </is>
      </c>
      <c r="S8" t="inlineStr">
        <is>
          <t>Post-Service Retail</t>
        </is>
      </c>
    </row>
    <row r="9">
      <c r="A9" t="inlineStr">
        <is>
          <t>TRX-0008</t>
        </is>
      </c>
      <c r="B9" t="n">
        <v>46091</v>
      </c>
      <c r="C9" t="inlineStr">
        <is>
          <t>CG-001</t>
        </is>
      </c>
      <c r="D9" t="inlineStr">
        <is>
          <t>Gabriel Samra Coral Gables</t>
        </is>
      </c>
      <c r="E9" t="inlineStr">
        <is>
          <t>Sutra</t>
        </is>
      </c>
      <c r="F9" t="inlineStr">
        <is>
          <t>SUT-FIR-001</t>
        </is>
      </c>
      <c r="G9" t="inlineStr">
        <is>
          <t>Mini Flat Iron</t>
        </is>
      </c>
      <c r="H9" t="inlineStr">
        <is>
          <t>Hot Tools</t>
        </is>
      </c>
      <c r="I9" t="inlineStr">
        <is>
          <t>Magaly</t>
        </is>
      </c>
      <c r="J9" t="n">
        <v>1</v>
      </c>
      <c r="K9" t="n">
        <v>38</v>
      </c>
      <c r="L9" t="n">
        <v>89</v>
      </c>
      <c r="M9" t="n">
        <v>0.05</v>
      </c>
      <c r="N9">
        <f>J9*L9*(1-M9)</f>
        <v/>
      </c>
      <c r="O9">
        <f>J9*K9</f>
        <v/>
      </c>
      <c r="P9">
        <f>N9-O9</f>
        <v/>
      </c>
      <c r="Q9">
        <f>IF(N9=0,0,P9/N9)</f>
        <v/>
      </c>
      <c r="R9" t="inlineStr">
        <is>
          <t>Cash</t>
        </is>
      </c>
      <c r="S9" t="inlineStr">
        <is>
          <t>Walk-in Client</t>
        </is>
      </c>
    </row>
    <row r="10">
      <c r="A10" t="inlineStr">
        <is>
          <t>TRX-0009</t>
        </is>
      </c>
      <c r="B10" t="n">
        <v>46120</v>
      </c>
      <c r="C10" t="inlineStr">
        <is>
          <t>DR-001</t>
        </is>
      </c>
      <c r="D10" t="inlineStr">
        <is>
          <t>Gabriel Samra Doral</t>
        </is>
      </c>
      <c r="E10" t="inlineStr">
        <is>
          <t>Truss</t>
        </is>
      </c>
      <c r="F10" t="inlineStr">
        <is>
          <t>TRU-MSK-003</t>
        </is>
      </c>
      <c r="G10" t="inlineStr">
        <is>
          <t>Net Mask</t>
        </is>
      </c>
      <c r="H10" t="inlineStr">
        <is>
          <t>Treatment</t>
        </is>
      </c>
      <c r="I10" t="inlineStr">
        <is>
          <t>Isaac</t>
        </is>
      </c>
      <c r="J10" t="n">
        <v>1</v>
      </c>
      <c r="K10" t="n">
        <v>20</v>
      </c>
      <c r="L10" t="n">
        <v>45</v>
      </c>
      <c r="M10" t="n">
        <v>0.1</v>
      </c>
      <c r="N10">
        <f>J10*L10*(1-M10)</f>
        <v/>
      </c>
      <c r="O10">
        <f>J10*K10</f>
        <v/>
      </c>
      <c r="P10">
        <f>N10-O10</f>
        <v/>
      </c>
      <c r="Q10">
        <f>IF(N10=0,0,P10/N10)</f>
        <v/>
      </c>
      <c r="R10" t="inlineStr">
        <is>
          <t>Apple Pay</t>
        </is>
      </c>
      <c r="S10" t="inlineStr">
        <is>
          <t>Existing Client</t>
        </is>
      </c>
    </row>
    <row r="11">
      <c r="A11" t="inlineStr">
        <is>
          <t>TRX-0010</t>
        </is>
      </c>
      <c r="B11" t="n">
        <v>46103</v>
      </c>
      <c r="C11" t="inlineStr">
        <is>
          <t>CG-001</t>
        </is>
      </c>
      <c r="D11" t="inlineStr">
        <is>
          <t>Gabriel Samra Coral Gables</t>
        </is>
      </c>
      <c r="E11" t="inlineStr">
        <is>
          <t>Truss</t>
        </is>
      </c>
      <c r="F11" t="inlineStr">
        <is>
          <t>TRU-OIL-004</t>
        </is>
      </c>
      <c r="G11" t="inlineStr">
        <is>
          <t>Deluxe Prime Oil</t>
        </is>
      </c>
      <c r="H11" t="inlineStr">
        <is>
          <t>Finishing</t>
        </is>
      </c>
      <c r="I11" t="inlineStr">
        <is>
          <t>Melia</t>
        </is>
      </c>
      <c r="J11" t="n">
        <v>1</v>
      </c>
      <c r="K11" t="n">
        <v>18</v>
      </c>
      <c r="L11" t="n">
        <v>42</v>
      </c>
      <c r="M11" t="n">
        <v>0</v>
      </c>
      <c r="N11">
        <f>J11*L11*(1-M11)</f>
        <v/>
      </c>
      <c r="O11">
        <f>J11*K11</f>
        <v/>
      </c>
      <c r="P11">
        <f>N11-O11</f>
        <v/>
      </c>
      <c r="Q11">
        <f>IF(N11=0,0,P11/N11)</f>
        <v/>
      </c>
      <c r="R11" t="inlineStr">
        <is>
          <t>Cash</t>
        </is>
      </c>
      <c r="S11" t="inlineStr">
        <is>
          <t>Stylist Recommendation</t>
        </is>
      </c>
    </row>
    <row r="12">
      <c r="A12" t="inlineStr">
        <is>
          <t>TRX-0011</t>
        </is>
      </c>
      <c r="B12" t="n">
        <v>46059</v>
      </c>
      <c r="C12" t="inlineStr">
        <is>
          <t>DR-001</t>
        </is>
      </c>
      <c r="D12" t="inlineStr">
        <is>
          <t>Gabriel Samra Doral</t>
        </is>
      </c>
      <c r="E12" t="inlineStr">
        <is>
          <t>Sutra</t>
        </is>
      </c>
      <c r="F12" t="inlineStr">
        <is>
          <t>SUT-CUR-002</t>
        </is>
      </c>
      <c r="G12" t="inlineStr">
        <is>
          <t>Clipless Curling Iron</t>
        </is>
      </c>
      <c r="H12" t="inlineStr">
        <is>
          <t>Hot Tools</t>
        </is>
      </c>
      <c r="I12" t="inlineStr">
        <is>
          <t>Isaac</t>
        </is>
      </c>
      <c r="J12" t="n">
        <v>1</v>
      </c>
      <c r="K12" t="n">
        <v>42</v>
      </c>
      <c r="L12" t="n">
        <v>99</v>
      </c>
      <c r="M12" t="n">
        <v>0</v>
      </c>
      <c r="N12">
        <f>J12*L12*(1-M12)</f>
        <v/>
      </c>
      <c r="O12">
        <f>J12*K12</f>
        <v/>
      </c>
      <c r="P12">
        <f>N12-O12</f>
        <v/>
      </c>
      <c r="Q12">
        <f>IF(N12=0,0,P12/N12)</f>
        <v/>
      </c>
      <c r="R12" t="inlineStr">
        <is>
          <t>Gift Card</t>
        </is>
      </c>
      <c r="S12" t="inlineStr">
        <is>
          <t>Stylist Recommendation</t>
        </is>
      </c>
    </row>
    <row r="13">
      <c r="A13" t="inlineStr">
        <is>
          <t>TRX-0012</t>
        </is>
      </c>
      <c r="B13" t="n">
        <v>46058</v>
      </c>
      <c r="C13" t="inlineStr">
        <is>
          <t>CG-001</t>
        </is>
      </c>
      <c r="D13" t="inlineStr">
        <is>
          <t>Gabriel Samra Coral Gables</t>
        </is>
      </c>
      <c r="E13" t="inlineStr">
        <is>
          <t>Sutra</t>
        </is>
      </c>
      <c r="F13" t="inlineStr">
        <is>
          <t>SUT-FIR-001</t>
        </is>
      </c>
      <c r="G13" t="inlineStr">
        <is>
          <t>Mini Flat Iron</t>
        </is>
      </c>
      <c r="H13" t="inlineStr">
        <is>
          <t>Hot Tools</t>
        </is>
      </c>
      <c r="I13" t="inlineStr">
        <is>
          <t>Melia</t>
        </is>
      </c>
      <c r="J13" t="n">
        <v>1</v>
      </c>
      <c r="K13" t="n">
        <v>38</v>
      </c>
      <c r="L13" t="n">
        <v>89</v>
      </c>
      <c r="M13" t="n">
        <v>0</v>
      </c>
      <c r="N13">
        <f>J13*L13*(1-M13)</f>
        <v/>
      </c>
      <c r="O13">
        <f>J13*K13</f>
        <v/>
      </c>
      <c r="P13">
        <f>N13-O13</f>
        <v/>
      </c>
      <c r="Q13">
        <f>IF(N13=0,0,P13/N13)</f>
        <v/>
      </c>
      <c r="R13" t="inlineStr">
        <is>
          <t>Card</t>
        </is>
      </c>
      <c r="S13" t="inlineStr">
        <is>
          <t>Walk-in Client</t>
        </is>
      </c>
    </row>
    <row r="14">
      <c r="A14" t="inlineStr">
        <is>
          <t>TRX-0013</t>
        </is>
      </c>
      <c r="B14" t="n">
        <v>46039</v>
      </c>
      <c r="C14" t="inlineStr">
        <is>
          <t>DR-001</t>
        </is>
      </c>
      <c r="D14" t="inlineStr">
        <is>
          <t>Gabriel Samra Doral</t>
        </is>
      </c>
      <c r="E14" t="inlineStr">
        <is>
          <t>Truss</t>
        </is>
      </c>
      <c r="F14" t="inlineStr">
        <is>
          <t>TRU-MSK-003</t>
        </is>
      </c>
      <c r="G14" t="inlineStr">
        <is>
          <t>Net Mask</t>
        </is>
      </c>
      <c r="H14" t="inlineStr">
        <is>
          <t>Treatment</t>
        </is>
      </c>
      <c r="I14" t="inlineStr">
        <is>
          <t>Magaly</t>
        </is>
      </c>
      <c r="J14" t="n">
        <v>1</v>
      </c>
      <c r="K14" t="n">
        <v>20</v>
      </c>
      <c r="L14" t="n">
        <v>45</v>
      </c>
      <c r="M14" t="n">
        <v>0</v>
      </c>
      <c r="N14">
        <f>J14*L14*(1-M14)</f>
        <v/>
      </c>
      <c r="O14">
        <f>J14*K14</f>
        <v/>
      </c>
      <c r="P14">
        <f>N14-O14</f>
        <v/>
      </c>
      <c r="Q14">
        <f>IF(N14=0,0,P14/N14)</f>
        <v/>
      </c>
      <c r="R14" t="inlineStr">
        <is>
          <t>Apple Pay</t>
        </is>
      </c>
      <c r="S14" t="inlineStr">
        <is>
          <t>Existing Client</t>
        </is>
      </c>
    </row>
    <row r="15">
      <c r="A15" t="inlineStr">
        <is>
          <t>TRX-0014</t>
        </is>
      </c>
      <c r="B15" t="n">
        <v>46110</v>
      </c>
      <c r="C15" t="inlineStr">
        <is>
          <t>DR-001</t>
        </is>
      </c>
      <c r="D15" t="inlineStr">
        <is>
          <t>Gabriel Samra Doral</t>
        </is>
      </c>
      <c r="E15" t="inlineStr">
        <is>
          <t>Truss</t>
        </is>
      </c>
      <c r="F15" t="inlineStr">
        <is>
          <t>TRU-CND-002</t>
        </is>
      </c>
      <c r="G15" t="inlineStr">
        <is>
          <t>Infusion Conditioner</t>
        </is>
      </c>
      <c r="H15" t="inlineStr">
        <is>
          <t>Hair Care</t>
        </is>
      </c>
      <c r="I15" t="inlineStr">
        <is>
          <t>Magaly</t>
        </is>
      </c>
      <c r="J15" t="n">
        <v>1</v>
      </c>
      <c r="K15" t="n">
        <v>15.25</v>
      </c>
      <c r="L15" t="n">
        <v>34</v>
      </c>
      <c r="M15" t="n">
        <v>0</v>
      </c>
      <c r="N15">
        <f>J15*L15*(1-M15)</f>
        <v/>
      </c>
      <c r="O15">
        <f>J15*K15</f>
        <v/>
      </c>
      <c r="P15">
        <f>N15-O15</f>
        <v/>
      </c>
      <c r="Q15">
        <f>IF(N15=0,0,P15/N15)</f>
        <v/>
      </c>
      <c r="R15" t="inlineStr">
        <is>
          <t>Card</t>
        </is>
      </c>
      <c r="S15" t="inlineStr">
        <is>
          <t>Post-Service Retail</t>
        </is>
      </c>
    </row>
    <row r="16">
      <c r="A16" t="inlineStr">
        <is>
          <t>TRX-0015</t>
        </is>
      </c>
      <c r="B16" t="n">
        <v>46152</v>
      </c>
      <c r="C16" t="inlineStr">
        <is>
          <t>CG-001</t>
        </is>
      </c>
      <c r="D16" t="inlineStr">
        <is>
          <t>Gabriel Samra Coral Gables</t>
        </is>
      </c>
      <c r="E16" t="inlineStr">
        <is>
          <t>Sutra</t>
        </is>
      </c>
      <c r="F16" t="inlineStr">
        <is>
          <t>SUT-DRY-004</t>
        </is>
      </c>
      <c r="G16" t="inlineStr">
        <is>
          <t>Professional Hair Dryer</t>
        </is>
      </c>
      <c r="H16" t="inlineStr">
        <is>
          <t>Hot Tools</t>
        </is>
      </c>
      <c r="I16" t="inlineStr">
        <is>
          <t>Isaac</t>
        </is>
      </c>
      <c r="J16" t="n">
        <v>2</v>
      </c>
      <c r="K16" t="n">
        <v>62</v>
      </c>
      <c r="L16" t="n">
        <v>149</v>
      </c>
      <c r="M16" t="n">
        <v>0.1</v>
      </c>
      <c r="N16">
        <f>J16*L16*(1-M16)</f>
        <v/>
      </c>
      <c r="O16">
        <f>J16*K16</f>
        <v/>
      </c>
      <c r="P16">
        <f>N16-O16</f>
        <v/>
      </c>
      <c r="Q16">
        <f>IF(N16=0,0,P16/N16)</f>
        <v/>
      </c>
      <c r="R16" t="inlineStr">
        <is>
          <t>Cash</t>
        </is>
      </c>
      <c r="S16" t="inlineStr">
        <is>
          <t>Walk-in Client</t>
        </is>
      </c>
    </row>
    <row r="17">
      <c r="A17" t="inlineStr">
        <is>
          <t>TRX-0016</t>
        </is>
      </c>
      <c r="B17" t="n">
        <v>46161</v>
      </c>
      <c r="C17" t="inlineStr">
        <is>
          <t>CG-001</t>
        </is>
      </c>
      <c r="D17" t="inlineStr">
        <is>
          <t>Gabriel Samra Coral Gables</t>
        </is>
      </c>
      <c r="E17" t="inlineStr">
        <is>
          <t>Sutra</t>
        </is>
      </c>
      <c r="F17" t="inlineStr">
        <is>
          <t>SUT-FIR-001</t>
        </is>
      </c>
      <c r="G17" t="inlineStr">
        <is>
          <t>Mini Flat Iron</t>
        </is>
      </c>
      <c r="H17" t="inlineStr">
        <is>
          <t>Hot Tools</t>
        </is>
      </c>
      <c r="I17" t="inlineStr">
        <is>
          <t>Melia</t>
        </is>
      </c>
      <c r="J17" t="n">
        <v>3</v>
      </c>
      <c r="K17" t="n">
        <v>38</v>
      </c>
      <c r="L17" t="n">
        <v>89</v>
      </c>
      <c r="M17" t="n">
        <v>0.1</v>
      </c>
      <c r="N17">
        <f>J17*L17*(1-M17)</f>
        <v/>
      </c>
      <c r="O17">
        <f>J17*K17</f>
        <v/>
      </c>
      <c r="P17">
        <f>N17-O17</f>
        <v/>
      </c>
      <c r="Q17">
        <f>IF(N17=0,0,P17/N17)</f>
        <v/>
      </c>
      <c r="R17" t="inlineStr">
        <is>
          <t>Apple Pay</t>
        </is>
      </c>
      <c r="S17" t="inlineStr">
        <is>
          <t>Stylist Recommendation</t>
        </is>
      </c>
    </row>
    <row r="18">
      <c r="A18" t="inlineStr">
        <is>
          <t>TRX-0017</t>
        </is>
      </c>
      <c r="B18" t="n">
        <v>46115</v>
      </c>
      <c r="C18" t="inlineStr">
        <is>
          <t>CG-001</t>
        </is>
      </c>
      <c r="D18" t="inlineStr">
        <is>
          <t>Gabriel Samra Coral Gables</t>
        </is>
      </c>
      <c r="E18" t="inlineStr">
        <is>
          <t>Truss</t>
        </is>
      </c>
      <c r="F18" t="inlineStr">
        <is>
          <t>TRU-SHP-001</t>
        </is>
      </c>
      <c r="G18" t="inlineStr">
        <is>
          <t>Infusion Shampoo</t>
        </is>
      </c>
      <c r="H18" t="inlineStr">
        <is>
          <t>Hair Care</t>
        </is>
      </c>
      <c r="I18" t="inlineStr">
        <is>
          <t>Isaac</t>
        </is>
      </c>
      <c r="J18" t="n">
        <v>2</v>
      </c>
      <c r="K18" t="n">
        <v>14.5</v>
      </c>
      <c r="L18" t="n">
        <v>32</v>
      </c>
      <c r="M18" t="n">
        <v>0.05</v>
      </c>
      <c r="N18">
        <f>J18*L18*(1-M18)</f>
        <v/>
      </c>
      <c r="O18">
        <f>J18*K18</f>
        <v/>
      </c>
      <c r="P18">
        <f>N18-O18</f>
        <v/>
      </c>
      <c r="Q18">
        <f>IF(N18=0,0,P18/N18)</f>
        <v/>
      </c>
      <c r="R18" t="inlineStr">
        <is>
          <t>Cash</t>
        </is>
      </c>
      <c r="S18" t="inlineStr">
        <is>
          <t>Existing Client</t>
        </is>
      </c>
    </row>
    <row r="19">
      <c r="A19" t="inlineStr">
        <is>
          <t>TRX-0018</t>
        </is>
      </c>
      <c r="B19" t="n">
        <v>46044</v>
      </c>
      <c r="C19" t="inlineStr">
        <is>
          <t>CG-001</t>
        </is>
      </c>
      <c r="D19" t="inlineStr">
        <is>
          <t>Gabriel Samra Coral Gables</t>
        </is>
      </c>
      <c r="E19" t="inlineStr">
        <is>
          <t>Truss</t>
        </is>
      </c>
      <c r="F19" t="inlineStr">
        <is>
          <t>TRU-OIL-004</t>
        </is>
      </c>
      <c r="G19" t="inlineStr">
        <is>
          <t>Deluxe Prime Oil</t>
        </is>
      </c>
      <c r="H19" t="inlineStr">
        <is>
          <t>Finishing</t>
        </is>
      </c>
      <c r="I19" t="inlineStr">
        <is>
          <t>Isaac</t>
        </is>
      </c>
      <c r="J19" t="n">
        <v>1</v>
      </c>
      <c r="K19" t="n">
        <v>18</v>
      </c>
      <c r="L19" t="n">
        <v>42</v>
      </c>
      <c r="M19" t="n">
        <v>0.05</v>
      </c>
      <c r="N19">
        <f>J19*L19*(1-M19)</f>
        <v/>
      </c>
      <c r="O19">
        <f>J19*K19</f>
        <v/>
      </c>
      <c r="P19">
        <f>N19-O19</f>
        <v/>
      </c>
      <c r="Q19">
        <f>IF(N19=0,0,P19/N19)</f>
        <v/>
      </c>
      <c r="R19" t="inlineStr">
        <is>
          <t>Cash</t>
        </is>
      </c>
      <c r="S19" t="inlineStr">
        <is>
          <t>Stylist Recommendation</t>
        </is>
      </c>
    </row>
    <row r="20">
      <c r="A20" t="inlineStr">
        <is>
          <t>TRX-0019</t>
        </is>
      </c>
      <c r="B20" t="n">
        <v>46090</v>
      </c>
      <c r="C20" t="inlineStr">
        <is>
          <t>CG-001</t>
        </is>
      </c>
      <c r="D20" t="inlineStr">
        <is>
          <t>Gabriel Samra Coral Gables</t>
        </is>
      </c>
      <c r="E20" t="inlineStr">
        <is>
          <t>Sutra</t>
        </is>
      </c>
      <c r="F20" t="inlineStr">
        <is>
          <t>SUT-DRY-004</t>
        </is>
      </c>
      <c r="G20" t="inlineStr">
        <is>
          <t>Professional Hair Dryer</t>
        </is>
      </c>
      <c r="H20" t="inlineStr">
        <is>
          <t>Hot Tools</t>
        </is>
      </c>
      <c r="I20" t="inlineStr">
        <is>
          <t>Isaac</t>
        </is>
      </c>
      <c r="J20" t="n">
        <v>1</v>
      </c>
      <c r="K20" t="n">
        <v>62</v>
      </c>
      <c r="L20" t="n">
        <v>149</v>
      </c>
      <c r="M20" t="n">
        <v>0</v>
      </c>
      <c r="N20">
        <f>J20*L20*(1-M20)</f>
        <v/>
      </c>
      <c r="O20">
        <f>J20*K20</f>
        <v/>
      </c>
      <c r="P20">
        <f>N20-O20</f>
        <v/>
      </c>
      <c r="Q20">
        <f>IF(N20=0,0,P20/N20)</f>
        <v/>
      </c>
      <c r="R20" t="inlineStr">
        <is>
          <t>Cash</t>
        </is>
      </c>
      <c r="S20" t="inlineStr">
        <is>
          <t>Post-Service Retail</t>
        </is>
      </c>
    </row>
    <row r="21">
      <c r="A21" t="inlineStr">
        <is>
          <t>TRX-0020</t>
        </is>
      </c>
      <c r="B21" t="n">
        <v>46135</v>
      </c>
      <c r="C21" t="inlineStr">
        <is>
          <t>DR-001</t>
        </is>
      </c>
      <c r="D21" t="inlineStr">
        <is>
          <t>Gabriel Samra Doral</t>
        </is>
      </c>
      <c r="E21" t="inlineStr">
        <is>
          <t>Sutra</t>
        </is>
      </c>
      <c r="F21" t="inlineStr">
        <is>
          <t>SUT-CUR-002</t>
        </is>
      </c>
      <c r="G21" t="inlineStr">
        <is>
          <t>Clipless Curling Iron</t>
        </is>
      </c>
      <c r="H21" t="inlineStr">
        <is>
          <t>Hot Tools</t>
        </is>
      </c>
      <c r="I21" t="inlineStr">
        <is>
          <t>Isaac</t>
        </is>
      </c>
      <c r="J21" t="n">
        <v>2</v>
      </c>
      <c r="K21" t="n">
        <v>42</v>
      </c>
      <c r="L21" t="n">
        <v>99</v>
      </c>
      <c r="M21" t="n">
        <v>0</v>
      </c>
      <c r="N21">
        <f>J21*L21*(1-M21)</f>
        <v/>
      </c>
      <c r="O21">
        <f>J21*K21</f>
        <v/>
      </c>
      <c r="P21">
        <f>N21-O21</f>
        <v/>
      </c>
      <c r="Q21">
        <f>IF(N21=0,0,P21/N21)</f>
        <v/>
      </c>
      <c r="R21" t="inlineStr">
        <is>
          <t>Cash</t>
        </is>
      </c>
      <c r="S21" t="inlineStr">
        <is>
          <t>Existing Client</t>
        </is>
      </c>
    </row>
    <row r="22">
      <c r="A22" t="inlineStr">
        <is>
          <t>TRX-0021</t>
        </is>
      </c>
      <c r="B22" t="n">
        <v>46081</v>
      </c>
      <c r="C22" t="inlineStr">
        <is>
          <t>CG-001</t>
        </is>
      </c>
      <c r="D22" t="inlineStr">
        <is>
          <t>Gabriel Samra Coral Gables</t>
        </is>
      </c>
      <c r="E22" t="inlineStr">
        <is>
          <t>Sutra</t>
        </is>
      </c>
      <c r="F22" t="inlineStr">
        <is>
          <t>SUT-FIR-001</t>
        </is>
      </c>
      <c r="G22" t="inlineStr">
        <is>
          <t>Mini Flat Iron</t>
        </is>
      </c>
      <c r="H22" t="inlineStr">
        <is>
          <t>Hot Tools</t>
        </is>
      </c>
      <c r="I22" t="inlineStr">
        <is>
          <t>Melia</t>
        </is>
      </c>
      <c r="J22" t="n">
        <v>1</v>
      </c>
      <c r="K22" t="n">
        <v>38</v>
      </c>
      <c r="L22" t="n">
        <v>89</v>
      </c>
      <c r="M22" t="n">
        <v>0</v>
      </c>
      <c r="N22">
        <f>J22*L22*(1-M22)</f>
        <v/>
      </c>
      <c r="O22">
        <f>J22*K22</f>
        <v/>
      </c>
      <c r="P22">
        <f>N22-O22</f>
        <v/>
      </c>
      <c r="Q22">
        <f>IF(N22=0,0,P22/N22)</f>
        <v/>
      </c>
      <c r="R22" t="inlineStr">
        <is>
          <t>Cash</t>
        </is>
      </c>
      <c r="S22" t="inlineStr">
        <is>
          <t>Existing Client</t>
        </is>
      </c>
    </row>
    <row r="23">
      <c r="A23" t="inlineStr">
        <is>
          <t>TRX-0022</t>
        </is>
      </c>
      <c r="B23" t="n">
        <v>46041</v>
      </c>
      <c r="C23" t="inlineStr">
        <is>
          <t>DR-001</t>
        </is>
      </c>
      <c r="D23" t="inlineStr">
        <is>
          <t>Gabriel Samra Doral</t>
        </is>
      </c>
      <c r="E23" t="inlineStr">
        <is>
          <t>Truss</t>
        </is>
      </c>
      <c r="F23" t="inlineStr">
        <is>
          <t>TRU-SHP-001</t>
        </is>
      </c>
      <c r="G23" t="inlineStr">
        <is>
          <t>Infusion Shampoo</t>
        </is>
      </c>
      <c r="H23" t="inlineStr">
        <is>
          <t>Hair Care</t>
        </is>
      </c>
      <c r="I23" t="inlineStr">
        <is>
          <t>Magaly</t>
        </is>
      </c>
      <c r="J23" t="n">
        <v>1</v>
      </c>
      <c r="K23" t="n">
        <v>14.5</v>
      </c>
      <c r="L23" t="n">
        <v>32</v>
      </c>
      <c r="M23" t="n">
        <v>0</v>
      </c>
      <c r="N23">
        <f>J23*L23*(1-M23)</f>
        <v/>
      </c>
      <c r="O23">
        <f>J23*K23</f>
        <v/>
      </c>
      <c r="P23">
        <f>N23-O23</f>
        <v/>
      </c>
      <c r="Q23">
        <f>IF(N23=0,0,P23/N23)</f>
        <v/>
      </c>
      <c r="R23" t="inlineStr">
        <is>
          <t>Cash</t>
        </is>
      </c>
      <c r="S23" t="inlineStr">
        <is>
          <t>Walk-in Client</t>
        </is>
      </c>
    </row>
    <row r="24">
      <c r="A24" t="inlineStr">
        <is>
          <t>TRX-0023</t>
        </is>
      </c>
      <c r="B24" t="n">
        <v>46085</v>
      </c>
      <c r="C24" t="inlineStr">
        <is>
          <t>DR-001</t>
        </is>
      </c>
      <c r="D24" t="inlineStr">
        <is>
          <t>Gabriel Samra Doral</t>
        </is>
      </c>
      <c r="E24" t="inlineStr">
        <is>
          <t>Sutra</t>
        </is>
      </c>
      <c r="F24" t="inlineStr">
        <is>
          <t>SUT-HSP-005</t>
        </is>
      </c>
      <c r="G24" t="inlineStr">
        <is>
          <t>Heat Spray</t>
        </is>
      </c>
      <c r="H24" t="inlineStr">
        <is>
          <t>Styling</t>
        </is>
      </c>
      <c r="I24" t="inlineStr">
        <is>
          <t>Isaac</t>
        </is>
      </c>
      <c r="J24" t="n">
        <v>2</v>
      </c>
      <c r="K24" t="n">
        <v>9.5</v>
      </c>
      <c r="L24" t="n">
        <v>24</v>
      </c>
      <c r="M24" t="n">
        <v>0.05</v>
      </c>
      <c r="N24">
        <f>J24*L24*(1-M24)</f>
        <v/>
      </c>
      <c r="O24">
        <f>J24*K24</f>
        <v/>
      </c>
      <c r="P24">
        <f>N24-O24</f>
        <v/>
      </c>
      <c r="Q24">
        <f>IF(N24=0,0,P24/N24)</f>
        <v/>
      </c>
      <c r="R24" t="inlineStr">
        <is>
          <t>Card</t>
        </is>
      </c>
      <c r="S24" t="inlineStr">
        <is>
          <t>Existing Client</t>
        </is>
      </c>
    </row>
    <row r="25">
      <c r="A25" t="inlineStr">
        <is>
          <t>TRX-0024</t>
        </is>
      </c>
      <c r="B25" t="n">
        <v>46131</v>
      </c>
      <c r="C25" t="inlineStr">
        <is>
          <t>DR-001</t>
        </is>
      </c>
      <c r="D25" t="inlineStr">
        <is>
          <t>Gabriel Samra Doral</t>
        </is>
      </c>
      <c r="E25" t="inlineStr">
        <is>
          <t>Sutra</t>
        </is>
      </c>
      <c r="F25" t="inlineStr">
        <is>
          <t>SUT-CUR-002</t>
        </is>
      </c>
      <c r="G25" t="inlineStr">
        <is>
          <t>Clipless Curling Iron</t>
        </is>
      </c>
      <c r="H25" t="inlineStr">
        <is>
          <t>Hot Tools</t>
        </is>
      </c>
      <c r="I25" t="inlineStr">
        <is>
          <t>Melia</t>
        </is>
      </c>
      <c r="J25" t="n">
        <v>1</v>
      </c>
      <c r="K25" t="n">
        <v>42</v>
      </c>
      <c r="L25" t="n">
        <v>99</v>
      </c>
      <c r="M25" t="n">
        <v>0.1</v>
      </c>
      <c r="N25">
        <f>J25*L25*(1-M25)</f>
        <v/>
      </c>
      <c r="O25">
        <f>J25*K25</f>
        <v/>
      </c>
      <c r="P25">
        <f>N25-O25</f>
        <v/>
      </c>
      <c r="Q25">
        <f>IF(N25=0,0,P25/N25)</f>
        <v/>
      </c>
      <c r="R25" t="inlineStr">
        <is>
          <t>Card</t>
        </is>
      </c>
      <c r="S25" t="inlineStr">
        <is>
          <t>Existing Client</t>
        </is>
      </c>
    </row>
    <row r="26">
      <c r="A26" t="inlineStr">
        <is>
          <t>TRX-0025</t>
        </is>
      </c>
      <c r="B26" t="n">
        <v>46050</v>
      </c>
      <c r="C26" t="inlineStr">
        <is>
          <t>DR-001</t>
        </is>
      </c>
      <c r="D26" t="inlineStr">
        <is>
          <t>Gabriel Samra Doral</t>
        </is>
      </c>
      <c r="E26" t="inlineStr">
        <is>
          <t>Sutra</t>
        </is>
      </c>
      <c r="F26" t="inlineStr">
        <is>
          <t>SUT-CUR-002</t>
        </is>
      </c>
      <c r="G26" t="inlineStr">
        <is>
          <t>Clipless Curling Iron</t>
        </is>
      </c>
      <c r="H26" t="inlineStr">
        <is>
          <t>Hot Tools</t>
        </is>
      </c>
      <c r="I26" t="inlineStr">
        <is>
          <t>Magaly</t>
        </is>
      </c>
      <c r="J26" t="n">
        <v>1</v>
      </c>
      <c r="K26" t="n">
        <v>42</v>
      </c>
      <c r="L26" t="n">
        <v>99</v>
      </c>
      <c r="M26" t="n">
        <v>0</v>
      </c>
      <c r="N26">
        <f>J26*L26*(1-M26)</f>
        <v/>
      </c>
      <c r="O26">
        <f>J26*K26</f>
        <v/>
      </c>
      <c r="P26">
        <f>N26-O26</f>
        <v/>
      </c>
      <c r="Q26">
        <f>IF(N26=0,0,P26/N26)</f>
        <v/>
      </c>
      <c r="R26" t="inlineStr">
        <is>
          <t>Cash</t>
        </is>
      </c>
      <c r="S26" t="inlineStr">
        <is>
          <t>Stylist Recommendation</t>
        </is>
      </c>
    </row>
    <row r="27">
      <c r="A27" t="inlineStr">
        <is>
          <t>TRX-0026</t>
        </is>
      </c>
      <c r="B27" t="n">
        <v>46141</v>
      </c>
      <c r="C27" t="inlineStr">
        <is>
          <t>DR-001</t>
        </is>
      </c>
      <c r="D27" t="inlineStr">
        <is>
          <t>Gabriel Samra Doral</t>
        </is>
      </c>
      <c r="E27" t="inlineStr">
        <is>
          <t>Truss</t>
        </is>
      </c>
      <c r="F27" t="inlineStr">
        <is>
          <t>TRU-MSK-003</t>
        </is>
      </c>
      <c r="G27" t="inlineStr">
        <is>
          <t>Net Mask</t>
        </is>
      </c>
      <c r="H27" t="inlineStr">
        <is>
          <t>Treatment</t>
        </is>
      </c>
      <c r="I27" t="inlineStr">
        <is>
          <t>Magaly</t>
        </is>
      </c>
      <c r="J27" t="n">
        <v>1</v>
      </c>
      <c r="K27" t="n">
        <v>20</v>
      </c>
      <c r="L27" t="n">
        <v>45</v>
      </c>
      <c r="M27" t="n">
        <v>0.1</v>
      </c>
      <c r="N27">
        <f>J27*L27*(1-M27)</f>
        <v/>
      </c>
      <c r="O27">
        <f>J27*K27</f>
        <v/>
      </c>
      <c r="P27">
        <f>N27-O27</f>
        <v/>
      </c>
      <c r="Q27">
        <f>IF(N27=0,0,P27/N27)</f>
        <v/>
      </c>
      <c r="R27" t="inlineStr">
        <is>
          <t>Card</t>
        </is>
      </c>
      <c r="S27" t="inlineStr">
        <is>
          <t>Existing Client</t>
        </is>
      </c>
    </row>
    <row r="28">
      <c r="A28" t="inlineStr">
        <is>
          <t>TRX-0027</t>
        </is>
      </c>
      <c r="B28" t="n">
        <v>46046</v>
      </c>
      <c r="C28" t="inlineStr">
        <is>
          <t>CG-001</t>
        </is>
      </c>
      <c r="D28" t="inlineStr">
        <is>
          <t>Gabriel Samra Coral Gables</t>
        </is>
      </c>
      <c r="E28" t="inlineStr">
        <is>
          <t>Sutra</t>
        </is>
      </c>
      <c r="F28" t="inlineStr">
        <is>
          <t>SUT-DRY-004</t>
        </is>
      </c>
      <c r="G28" t="inlineStr">
        <is>
          <t>Professional Hair Dryer</t>
        </is>
      </c>
      <c r="H28" t="inlineStr">
        <is>
          <t>Hot Tools</t>
        </is>
      </c>
      <c r="I28" t="inlineStr">
        <is>
          <t>Isaac</t>
        </is>
      </c>
      <c r="J28" t="n">
        <v>2</v>
      </c>
      <c r="K28" t="n">
        <v>62</v>
      </c>
      <c r="L28" t="n">
        <v>149</v>
      </c>
      <c r="M28" t="n">
        <v>0.05</v>
      </c>
      <c r="N28">
        <f>J28*L28*(1-M28)</f>
        <v/>
      </c>
      <c r="O28">
        <f>J28*K28</f>
        <v/>
      </c>
      <c r="P28">
        <f>N28-O28</f>
        <v/>
      </c>
      <c r="Q28">
        <f>IF(N28=0,0,P28/N28)</f>
        <v/>
      </c>
      <c r="R28" t="inlineStr">
        <is>
          <t>Gift Card</t>
        </is>
      </c>
      <c r="S28" t="inlineStr">
        <is>
          <t>Stylist Recommendation</t>
        </is>
      </c>
    </row>
    <row r="29">
      <c r="A29" t="inlineStr">
        <is>
          <t>TRX-0028</t>
        </is>
      </c>
      <c r="B29" t="n">
        <v>46125</v>
      </c>
      <c r="C29" t="inlineStr">
        <is>
          <t>CG-001</t>
        </is>
      </c>
      <c r="D29" t="inlineStr">
        <is>
          <t>Gabriel Samra Coral Gables</t>
        </is>
      </c>
      <c r="E29" t="inlineStr">
        <is>
          <t>Sutra</t>
        </is>
      </c>
      <c r="F29" t="inlineStr">
        <is>
          <t>SUT-BLO-003</t>
        </is>
      </c>
      <c r="G29" t="inlineStr">
        <is>
          <t>Blowout Brush</t>
        </is>
      </c>
      <c r="H29" t="inlineStr">
        <is>
          <t>Hot Tools</t>
        </is>
      </c>
      <c r="I29" t="inlineStr">
        <is>
          <t>Melia</t>
        </is>
      </c>
      <c r="J29" t="n">
        <v>2</v>
      </c>
      <c r="K29" t="n">
        <v>48</v>
      </c>
      <c r="L29" t="n">
        <v>119</v>
      </c>
      <c r="M29" t="n">
        <v>0</v>
      </c>
      <c r="N29">
        <f>J29*L29*(1-M29)</f>
        <v/>
      </c>
      <c r="O29">
        <f>J29*K29</f>
        <v/>
      </c>
      <c r="P29">
        <f>N29-O29</f>
        <v/>
      </c>
      <c r="Q29">
        <f>IF(N29=0,0,P29/N29)</f>
        <v/>
      </c>
      <c r="R29" t="inlineStr">
        <is>
          <t>Gift Card</t>
        </is>
      </c>
      <c r="S29" t="inlineStr">
        <is>
          <t>Post-Service Retail</t>
        </is>
      </c>
    </row>
    <row r="30">
      <c r="A30" t="inlineStr">
        <is>
          <t>TRX-0029</t>
        </is>
      </c>
      <c r="B30" t="n">
        <v>46131</v>
      </c>
      <c r="C30" t="inlineStr">
        <is>
          <t>DR-001</t>
        </is>
      </c>
      <c r="D30" t="inlineStr">
        <is>
          <t>Gabriel Samra Doral</t>
        </is>
      </c>
      <c r="E30" t="inlineStr">
        <is>
          <t>Sutra</t>
        </is>
      </c>
      <c r="F30" t="inlineStr">
        <is>
          <t>SUT-BLO-003</t>
        </is>
      </c>
      <c r="G30" t="inlineStr">
        <is>
          <t>Blowout Brush</t>
        </is>
      </c>
      <c r="H30" t="inlineStr">
        <is>
          <t>Hot Tools</t>
        </is>
      </c>
      <c r="I30" t="inlineStr">
        <is>
          <t>Magaly</t>
        </is>
      </c>
      <c r="J30" t="n">
        <v>1</v>
      </c>
      <c r="K30" t="n">
        <v>48</v>
      </c>
      <c r="L30" t="n">
        <v>119</v>
      </c>
      <c r="M30" t="n">
        <v>0.05</v>
      </c>
      <c r="N30">
        <f>J30*L30*(1-M30)</f>
        <v/>
      </c>
      <c r="O30">
        <f>J30*K30</f>
        <v/>
      </c>
      <c r="P30">
        <f>N30-O30</f>
        <v/>
      </c>
      <c r="Q30">
        <f>IF(N30=0,0,P30/N30)</f>
        <v/>
      </c>
      <c r="R30" t="inlineStr">
        <is>
          <t>Cash</t>
        </is>
      </c>
      <c r="S30" t="inlineStr">
        <is>
          <t>Walk-in Client</t>
        </is>
      </c>
    </row>
    <row r="31">
      <c r="A31" t="inlineStr">
        <is>
          <t>TRX-0030</t>
        </is>
      </c>
      <c r="B31" t="n">
        <v>46037</v>
      </c>
      <c r="C31" t="inlineStr">
        <is>
          <t>CG-001</t>
        </is>
      </c>
      <c r="D31" t="inlineStr">
        <is>
          <t>Gabriel Samra Coral Gables</t>
        </is>
      </c>
      <c r="E31" t="inlineStr">
        <is>
          <t>Truss</t>
        </is>
      </c>
      <c r="F31" t="inlineStr">
        <is>
          <t>TRU-SER-005</t>
        </is>
      </c>
      <c r="G31" t="inlineStr">
        <is>
          <t>Night Spa Serum</t>
        </is>
      </c>
      <c r="H31" t="inlineStr">
        <is>
          <t>Treatment</t>
        </is>
      </c>
      <c r="I31" t="inlineStr">
        <is>
          <t>Melia</t>
        </is>
      </c>
      <c r="J31" t="n">
        <v>1</v>
      </c>
      <c r="K31" t="n">
        <v>19.75</v>
      </c>
      <c r="L31" t="n">
        <v>48</v>
      </c>
      <c r="M31" t="n">
        <v>0</v>
      </c>
      <c r="N31">
        <f>J31*L31*(1-M31)</f>
        <v/>
      </c>
      <c r="O31">
        <f>J31*K31</f>
        <v/>
      </c>
      <c r="P31">
        <f>N31-O31</f>
        <v/>
      </c>
      <c r="Q31">
        <f>IF(N31=0,0,P31/N31)</f>
        <v/>
      </c>
      <c r="R31" t="inlineStr">
        <is>
          <t>Card</t>
        </is>
      </c>
      <c r="S31" t="inlineStr">
        <is>
          <t>Existing Client</t>
        </is>
      </c>
    </row>
    <row r="32">
      <c r="A32" t="inlineStr">
        <is>
          <t>TRX-0031</t>
        </is>
      </c>
      <c r="B32" t="n">
        <v>46151</v>
      </c>
      <c r="C32" t="inlineStr">
        <is>
          <t>DR-001</t>
        </is>
      </c>
      <c r="D32" t="inlineStr">
        <is>
          <t>Gabriel Samra Doral</t>
        </is>
      </c>
      <c r="E32" t="inlineStr">
        <is>
          <t>Sutra</t>
        </is>
      </c>
      <c r="F32" t="inlineStr">
        <is>
          <t>SUT-HSP-005</t>
        </is>
      </c>
      <c r="G32" t="inlineStr">
        <is>
          <t>Heat Spray</t>
        </is>
      </c>
      <c r="H32" t="inlineStr">
        <is>
          <t>Styling</t>
        </is>
      </c>
      <c r="I32" t="inlineStr">
        <is>
          <t>Melia</t>
        </is>
      </c>
      <c r="J32" t="n">
        <v>2</v>
      </c>
      <c r="K32" t="n">
        <v>9.5</v>
      </c>
      <c r="L32" t="n">
        <v>24</v>
      </c>
      <c r="M32" t="n">
        <v>0</v>
      </c>
      <c r="N32">
        <f>J32*L32*(1-M32)</f>
        <v/>
      </c>
      <c r="O32">
        <f>J32*K32</f>
        <v/>
      </c>
      <c r="P32">
        <f>N32-O32</f>
        <v/>
      </c>
      <c r="Q32">
        <f>IF(N32=0,0,P32/N32)</f>
        <v/>
      </c>
      <c r="R32" t="inlineStr">
        <is>
          <t>Card</t>
        </is>
      </c>
      <c r="S32" t="inlineStr">
        <is>
          <t>Walk-in Client</t>
        </is>
      </c>
    </row>
    <row r="33">
      <c r="A33" t="inlineStr">
        <is>
          <t>TRX-0032</t>
        </is>
      </c>
      <c r="B33" t="n">
        <v>46083</v>
      </c>
      <c r="C33" t="inlineStr">
        <is>
          <t>CG-001</t>
        </is>
      </c>
      <c r="D33" t="inlineStr">
        <is>
          <t>Gabriel Samra Coral Gables</t>
        </is>
      </c>
      <c r="E33" t="inlineStr">
        <is>
          <t>Truss</t>
        </is>
      </c>
      <c r="F33" t="inlineStr">
        <is>
          <t>TRU-CND-002</t>
        </is>
      </c>
      <c r="G33" t="inlineStr">
        <is>
          <t>Infusion Conditioner</t>
        </is>
      </c>
      <c r="H33" t="inlineStr">
        <is>
          <t>Hair Care</t>
        </is>
      </c>
      <c r="I33" t="inlineStr">
        <is>
          <t>Isaac</t>
        </is>
      </c>
      <c r="J33" t="n">
        <v>1</v>
      </c>
      <c r="K33" t="n">
        <v>15.25</v>
      </c>
      <c r="L33" t="n">
        <v>34</v>
      </c>
      <c r="M33" t="n">
        <v>0.1</v>
      </c>
      <c r="N33">
        <f>J33*L33*(1-M33)</f>
        <v/>
      </c>
      <c r="O33">
        <f>J33*K33</f>
        <v/>
      </c>
      <c r="P33">
        <f>N33-O33</f>
        <v/>
      </c>
      <c r="Q33">
        <f>IF(N33=0,0,P33/N33)</f>
        <v/>
      </c>
      <c r="R33" t="inlineStr">
        <is>
          <t>Card</t>
        </is>
      </c>
      <c r="S33" t="inlineStr">
        <is>
          <t>Existing Client</t>
        </is>
      </c>
    </row>
    <row r="34">
      <c r="A34" t="inlineStr">
        <is>
          <t>TRX-0033</t>
        </is>
      </c>
      <c r="B34" t="n">
        <v>46089</v>
      </c>
      <c r="C34" t="inlineStr">
        <is>
          <t>DR-001</t>
        </is>
      </c>
      <c r="D34" t="inlineStr">
        <is>
          <t>Gabriel Samra Doral</t>
        </is>
      </c>
      <c r="E34" t="inlineStr">
        <is>
          <t>Sutra</t>
        </is>
      </c>
      <c r="F34" t="inlineStr">
        <is>
          <t>SUT-CUR-002</t>
        </is>
      </c>
      <c r="G34" t="inlineStr">
        <is>
          <t>Clipless Curling Iron</t>
        </is>
      </c>
      <c r="H34" t="inlineStr">
        <is>
          <t>Hot Tools</t>
        </is>
      </c>
      <c r="I34" t="inlineStr">
        <is>
          <t>Isaac</t>
        </is>
      </c>
      <c r="J34" t="n">
        <v>1</v>
      </c>
      <c r="K34" t="n">
        <v>42</v>
      </c>
      <c r="L34" t="n">
        <v>99</v>
      </c>
      <c r="M34" t="n">
        <v>0.05</v>
      </c>
      <c r="N34">
        <f>J34*L34*(1-M34)</f>
        <v/>
      </c>
      <c r="O34">
        <f>J34*K34</f>
        <v/>
      </c>
      <c r="P34">
        <f>N34-O34</f>
        <v/>
      </c>
      <c r="Q34">
        <f>IF(N34=0,0,P34/N34)</f>
        <v/>
      </c>
      <c r="R34" t="inlineStr">
        <is>
          <t>Apple Pay</t>
        </is>
      </c>
      <c r="S34" t="inlineStr">
        <is>
          <t>Stylist Recommendation</t>
        </is>
      </c>
    </row>
    <row r="35">
      <c r="A35" t="inlineStr">
        <is>
          <t>TRX-0034</t>
        </is>
      </c>
      <c r="B35" t="n">
        <v>46140</v>
      </c>
      <c r="C35" t="inlineStr">
        <is>
          <t>DR-001</t>
        </is>
      </c>
      <c r="D35" t="inlineStr">
        <is>
          <t>Gabriel Samra Doral</t>
        </is>
      </c>
      <c r="E35" t="inlineStr">
        <is>
          <t>Truss</t>
        </is>
      </c>
      <c r="F35" t="inlineStr">
        <is>
          <t>TRU-MSK-003</t>
        </is>
      </c>
      <c r="G35" t="inlineStr">
        <is>
          <t>Net Mask</t>
        </is>
      </c>
      <c r="H35" t="inlineStr">
        <is>
          <t>Treatment</t>
        </is>
      </c>
      <c r="I35" t="inlineStr">
        <is>
          <t>Magaly</t>
        </is>
      </c>
      <c r="J35" t="n">
        <v>1</v>
      </c>
      <c r="K35" t="n">
        <v>20</v>
      </c>
      <c r="L35" t="n">
        <v>45</v>
      </c>
      <c r="M35" t="n">
        <v>0.05</v>
      </c>
      <c r="N35">
        <f>J35*L35*(1-M35)</f>
        <v/>
      </c>
      <c r="O35">
        <f>J35*K35</f>
        <v/>
      </c>
      <c r="P35">
        <f>N35-O35</f>
        <v/>
      </c>
      <c r="Q35">
        <f>IF(N35=0,0,P35/N35)</f>
        <v/>
      </c>
      <c r="R35" t="inlineStr">
        <is>
          <t>Card</t>
        </is>
      </c>
      <c r="S35" t="inlineStr">
        <is>
          <t>Stylist Recommendation</t>
        </is>
      </c>
    </row>
    <row r="36">
      <c r="A36" t="inlineStr">
        <is>
          <t>TRX-0035</t>
        </is>
      </c>
      <c r="B36" t="n">
        <v>46041</v>
      </c>
      <c r="C36" t="inlineStr">
        <is>
          <t>CG-001</t>
        </is>
      </c>
      <c r="D36" t="inlineStr">
        <is>
          <t>Gabriel Samra Coral Gables</t>
        </is>
      </c>
      <c r="E36" t="inlineStr">
        <is>
          <t>Sutra</t>
        </is>
      </c>
      <c r="F36" t="inlineStr">
        <is>
          <t>SUT-HSP-005</t>
        </is>
      </c>
      <c r="G36" t="inlineStr">
        <is>
          <t>Heat Spray</t>
        </is>
      </c>
      <c r="H36" t="inlineStr">
        <is>
          <t>Styling</t>
        </is>
      </c>
      <c r="I36" t="inlineStr">
        <is>
          <t>Isaac</t>
        </is>
      </c>
      <c r="J36" t="n">
        <v>1</v>
      </c>
      <c r="K36" t="n">
        <v>9.5</v>
      </c>
      <c r="L36" t="n">
        <v>24</v>
      </c>
      <c r="M36" t="n">
        <v>0</v>
      </c>
      <c r="N36">
        <f>J36*L36*(1-M36)</f>
        <v/>
      </c>
      <c r="O36">
        <f>J36*K36</f>
        <v/>
      </c>
      <c r="P36">
        <f>N36-O36</f>
        <v/>
      </c>
      <c r="Q36">
        <f>IF(N36=0,0,P36/N36)</f>
        <v/>
      </c>
      <c r="R36" t="inlineStr">
        <is>
          <t>Apple Pay</t>
        </is>
      </c>
      <c r="S36" t="inlineStr">
        <is>
          <t>Existing Client</t>
        </is>
      </c>
    </row>
    <row r="37">
      <c r="A37" t="inlineStr">
        <is>
          <t>TRX-0036</t>
        </is>
      </c>
      <c r="B37" t="n">
        <v>46095</v>
      </c>
      <c r="C37" t="inlineStr">
        <is>
          <t>DR-001</t>
        </is>
      </c>
      <c r="D37" t="inlineStr">
        <is>
          <t>Gabriel Samra Doral</t>
        </is>
      </c>
      <c r="E37" t="inlineStr">
        <is>
          <t>Truss</t>
        </is>
      </c>
      <c r="F37" t="inlineStr">
        <is>
          <t>TRU-OIL-004</t>
        </is>
      </c>
      <c r="G37" t="inlineStr">
        <is>
          <t>Deluxe Prime Oil</t>
        </is>
      </c>
      <c r="H37" t="inlineStr">
        <is>
          <t>Finishing</t>
        </is>
      </c>
      <c r="I37" t="inlineStr">
        <is>
          <t>Isaac</t>
        </is>
      </c>
      <c r="J37" t="n">
        <v>1</v>
      </c>
      <c r="K37" t="n">
        <v>18</v>
      </c>
      <c r="L37" t="n">
        <v>42</v>
      </c>
      <c r="M37" t="n">
        <v>0.05</v>
      </c>
      <c r="N37">
        <f>J37*L37*(1-M37)</f>
        <v/>
      </c>
      <c r="O37">
        <f>J37*K37</f>
        <v/>
      </c>
      <c r="P37">
        <f>N37-O37</f>
        <v/>
      </c>
      <c r="Q37">
        <f>IF(N37=0,0,P37/N37)</f>
        <v/>
      </c>
      <c r="R37" t="inlineStr">
        <is>
          <t>Card</t>
        </is>
      </c>
      <c r="S37" t="inlineStr">
        <is>
          <t>Post-Service Retail</t>
        </is>
      </c>
    </row>
    <row r="38">
      <c r="A38" t="inlineStr">
        <is>
          <t>TRX-0037</t>
        </is>
      </c>
      <c r="B38" t="n">
        <v>46090</v>
      </c>
      <c r="C38" t="inlineStr">
        <is>
          <t>CG-001</t>
        </is>
      </c>
      <c r="D38" t="inlineStr">
        <is>
          <t>Gabriel Samra Coral Gables</t>
        </is>
      </c>
      <c r="E38" t="inlineStr">
        <is>
          <t>Truss</t>
        </is>
      </c>
      <c r="F38" t="inlineStr">
        <is>
          <t>TRU-CND-002</t>
        </is>
      </c>
      <c r="G38" t="inlineStr">
        <is>
          <t>Infusion Conditioner</t>
        </is>
      </c>
      <c r="H38" t="inlineStr">
        <is>
          <t>Hair Care</t>
        </is>
      </c>
      <c r="I38" t="inlineStr">
        <is>
          <t>Isaac</t>
        </is>
      </c>
      <c r="J38" t="n">
        <v>1</v>
      </c>
      <c r="K38" t="n">
        <v>15.25</v>
      </c>
      <c r="L38" t="n">
        <v>34</v>
      </c>
      <c r="M38" t="n">
        <v>0</v>
      </c>
      <c r="N38">
        <f>J38*L38*(1-M38)</f>
        <v/>
      </c>
      <c r="O38">
        <f>J38*K38</f>
        <v/>
      </c>
      <c r="P38">
        <f>N38-O38</f>
        <v/>
      </c>
      <c r="Q38">
        <f>IF(N38=0,0,P38/N38)</f>
        <v/>
      </c>
      <c r="R38" t="inlineStr">
        <is>
          <t>Apple Pay</t>
        </is>
      </c>
      <c r="S38" t="inlineStr">
        <is>
          <t>Post-Service Retail</t>
        </is>
      </c>
    </row>
    <row r="39">
      <c r="A39" t="inlineStr">
        <is>
          <t>TRX-0038</t>
        </is>
      </c>
      <c r="B39" t="n">
        <v>46110</v>
      </c>
      <c r="C39" t="inlineStr">
        <is>
          <t>CG-001</t>
        </is>
      </c>
      <c r="D39" t="inlineStr">
        <is>
          <t>Gabriel Samra Coral Gables</t>
        </is>
      </c>
      <c r="E39" t="inlineStr">
        <is>
          <t>Sutra</t>
        </is>
      </c>
      <c r="F39" t="inlineStr">
        <is>
          <t>SUT-HSP-005</t>
        </is>
      </c>
      <c r="G39" t="inlineStr">
        <is>
          <t>Heat Spray</t>
        </is>
      </c>
      <c r="H39" t="inlineStr">
        <is>
          <t>Styling</t>
        </is>
      </c>
      <c r="I39" t="inlineStr">
        <is>
          <t>Isaac</t>
        </is>
      </c>
      <c r="J39" t="n">
        <v>1</v>
      </c>
      <c r="K39" t="n">
        <v>9.5</v>
      </c>
      <c r="L39" t="n">
        <v>24</v>
      </c>
      <c r="M39" t="n">
        <v>0</v>
      </c>
      <c r="N39">
        <f>J39*L39*(1-M39)</f>
        <v/>
      </c>
      <c r="O39">
        <f>J39*K39</f>
        <v/>
      </c>
      <c r="P39">
        <f>N39-O39</f>
        <v/>
      </c>
      <c r="Q39">
        <f>IF(N39=0,0,P39/N39)</f>
        <v/>
      </c>
      <c r="R39" t="inlineStr">
        <is>
          <t>Gift Card</t>
        </is>
      </c>
      <c r="S39" t="inlineStr">
        <is>
          <t>Post-Service Retail</t>
        </is>
      </c>
    </row>
    <row r="40">
      <c r="A40" t="inlineStr">
        <is>
          <t>TRX-0039</t>
        </is>
      </c>
      <c r="B40" t="n">
        <v>46131</v>
      </c>
      <c r="C40" t="inlineStr">
        <is>
          <t>CG-001</t>
        </is>
      </c>
      <c r="D40" t="inlineStr">
        <is>
          <t>Gabriel Samra Coral Gables</t>
        </is>
      </c>
      <c r="E40" t="inlineStr">
        <is>
          <t>Truss</t>
        </is>
      </c>
      <c r="F40" t="inlineStr">
        <is>
          <t>TRU-SHP-001</t>
        </is>
      </c>
      <c r="G40" t="inlineStr">
        <is>
          <t>Infusion Shampoo</t>
        </is>
      </c>
      <c r="H40" t="inlineStr">
        <is>
          <t>Hair Care</t>
        </is>
      </c>
      <c r="I40" t="inlineStr">
        <is>
          <t>Melia</t>
        </is>
      </c>
      <c r="J40" t="n">
        <v>2</v>
      </c>
      <c r="K40" t="n">
        <v>14.5</v>
      </c>
      <c r="L40" t="n">
        <v>32</v>
      </c>
      <c r="M40" t="n">
        <v>0</v>
      </c>
      <c r="N40">
        <f>J40*L40*(1-M40)</f>
        <v/>
      </c>
      <c r="O40">
        <f>J40*K40</f>
        <v/>
      </c>
      <c r="P40">
        <f>N40-O40</f>
        <v/>
      </c>
      <c r="Q40">
        <f>IF(N40=0,0,P40/N40)</f>
        <v/>
      </c>
      <c r="R40" t="inlineStr">
        <is>
          <t>Cash</t>
        </is>
      </c>
      <c r="S40" t="inlineStr">
        <is>
          <t>Post-Service Retail</t>
        </is>
      </c>
    </row>
    <row r="41">
      <c r="A41" t="inlineStr">
        <is>
          <t>TRX-0040</t>
        </is>
      </c>
      <c r="B41" t="n">
        <v>46132</v>
      </c>
      <c r="C41" t="inlineStr">
        <is>
          <t>DR-001</t>
        </is>
      </c>
      <c r="D41" t="inlineStr">
        <is>
          <t>Gabriel Samra Doral</t>
        </is>
      </c>
      <c r="E41" t="inlineStr">
        <is>
          <t>Truss</t>
        </is>
      </c>
      <c r="F41" t="inlineStr">
        <is>
          <t>TRU-MSK-003</t>
        </is>
      </c>
      <c r="G41" t="inlineStr">
        <is>
          <t>Net Mask</t>
        </is>
      </c>
      <c r="H41" t="inlineStr">
        <is>
          <t>Treatment</t>
        </is>
      </c>
      <c r="I41" t="inlineStr">
        <is>
          <t>Isaac</t>
        </is>
      </c>
      <c r="J41" t="n">
        <v>1</v>
      </c>
      <c r="K41" t="n">
        <v>20</v>
      </c>
      <c r="L41" t="n">
        <v>45</v>
      </c>
      <c r="M41" t="n">
        <v>0</v>
      </c>
      <c r="N41">
        <f>J41*L41*(1-M41)</f>
        <v/>
      </c>
      <c r="O41">
        <f>J41*K41</f>
        <v/>
      </c>
      <c r="P41">
        <f>N41-O41</f>
        <v/>
      </c>
      <c r="Q41">
        <f>IF(N41=0,0,P41/N41)</f>
        <v/>
      </c>
      <c r="R41" t="inlineStr">
        <is>
          <t>Card</t>
        </is>
      </c>
      <c r="S41" t="inlineStr">
        <is>
          <t>Post-Service Retail</t>
        </is>
      </c>
    </row>
    <row r="42">
      <c r="A42" t="inlineStr">
        <is>
          <t>TRX-0041</t>
        </is>
      </c>
      <c r="B42" t="n">
        <v>46133</v>
      </c>
      <c r="C42" t="inlineStr">
        <is>
          <t>CG-001</t>
        </is>
      </c>
      <c r="D42" t="inlineStr">
        <is>
          <t>Gabriel Samra Coral Gables</t>
        </is>
      </c>
      <c r="E42" t="inlineStr">
        <is>
          <t>Sutra</t>
        </is>
      </c>
      <c r="F42" t="inlineStr">
        <is>
          <t>SUT-HSP-005</t>
        </is>
      </c>
      <c r="G42" t="inlineStr">
        <is>
          <t>Heat Spray</t>
        </is>
      </c>
      <c r="H42" t="inlineStr">
        <is>
          <t>Styling</t>
        </is>
      </c>
      <c r="I42" t="inlineStr">
        <is>
          <t>Melia</t>
        </is>
      </c>
      <c r="J42" t="n">
        <v>1</v>
      </c>
      <c r="K42" t="n">
        <v>9.5</v>
      </c>
      <c r="L42" t="n">
        <v>24</v>
      </c>
      <c r="M42" t="n">
        <v>0</v>
      </c>
      <c r="N42">
        <f>J42*L42*(1-M42)</f>
        <v/>
      </c>
      <c r="O42">
        <f>J42*K42</f>
        <v/>
      </c>
      <c r="P42">
        <f>N42-O42</f>
        <v/>
      </c>
      <c r="Q42">
        <f>IF(N42=0,0,P42/N42)</f>
        <v/>
      </c>
      <c r="R42" t="inlineStr">
        <is>
          <t>Apple Pay</t>
        </is>
      </c>
      <c r="S42" t="inlineStr">
        <is>
          <t>Walk-in Client</t>
        </is>
      </c>
    </row>
    <row r="43">
      <c r="A43" t="inlineStr">
        <is>
          <t>TRX-0042</t>
        </is>
      </c>
      <c r="B43" t="n">
        <v>46113</v>
      </c>
      <c r="C43" t="inlineStr">
        <is>
          <t>CG-001</t>
        </is>
      </c>
      <c r="D43" t="inlineStr">
        <is>
          <t>Gabriel Samra Coral Gables</t>
        </is>
      </c>
      <c r="E43" t="inlineStr">
        <is>
          <t>Truss</t>
        </is>
      </c>
      <c r="F43" t="inlineStr">
        <is>
          <t>TRU-OIL-004</t>
        </is>
      </c>
      <c r="G43" t="inlineStr">
        <is>
          <t>Deluxe Prime Oil</t>
        </is>
      </c>
      <c r="H43" t="inlineStr">
        <is>
          <t>Finishing</t>
        </is>
      </c>
      <c r="I43" t="inlineStr">
        <is>
          <t>Melia</t>
        </is>
      </c>
      <c r="J43" t="n">
        <v>2</v>
      </c>
      <c r="K43" t="n">
        <v>18</v>
      </c>
      <c r="L43" t="n">
        <v>42</v>
      </c>
      <c r="M43" t="n">
        <v>0.1</v>
      </c>
      <c r="N43">
        <f>J43*L43*(1-M43)</f>
        <v/>
      </c>
      <c r="O43">
        <f>J43*K43</f>
        <v/>
      </c>
      <c r="P43">
        <f>N43-O43</f>
        <v/>
      </c>
      <c r="Q43">
        <f>IF(N43=0,0,P43/N43)</f>
        <v/>
      </c>
      <c r="R43" t="inlineStr">
        <is>
          <t>Cash</t>
        </is>
      </c>
      <c r="S43" t="inlineStr">
        <is>
          <t>Walk-in Client</t>
        </is>
      </c>
    </row>
    <row r="44">
      <c r="A44" t="inlineStr">
        <is>
          <t>TRX-0043</t>
        </is>
      </c>
      <c r="B44" t="n">
        <v>46128</v>
      </c>
      <c r="C44" t="inlineStr">
        <is>
          <t>CG-001</t>
        </is>
      </c>
      <c r="D44" t="inlineStr">
        <is>
          <t>Gabriel Samra Coral Gables</t>
        </is>
      </c>
      <c r="E44" t="inlineStr">
        <is>
          <t>Truss</t>
        </is>
      </c>
      <c r="F44" t="inlineStr">
        <is>
          <t>TRU-MSK-003</t>
        </is>
      </c>
      <c r="G44" t="inlineStr">
        <is>
          <t>Net Mask</t>
        </is>
      </c>
      <c r="H44" t="inlineStr">
        <is>
          <t>Treatment</t>
        </is>
      </c>
      <c r="I44" t="inlineStr">
        <is>
          <t>Melia</t>
        </is>
      </c>
      <c r="J44" t="n">
        <v>1</v>
      </c>
      <c r="K44" t="n">
        <v>20</v>
      </c>
      <c r="L44" t="n">
        <v>45</v>
      </c>
      <c r="M44" t="n">
        <v>0.05</v>
      </c>
      <c r="N44">
        <f>J44*L44*(1-M44)</f>
        <v/>
      </c>
      <c r="O44">
        <f>J44*K44</f>
        <v/>
      </c>
      <c r="P44">
        <f>N44-O44</f>
        <v/>
      </c>
      <c r="Q44">
        <f>IF(N44=0,0,P44/N44)</f>
        <v/>
      </c>
      <c r="R44" t="inlineStr">
        <is>
          <t>Gift Card</t>
        </is>
      </c>
      <c r="S44" t="inlineStr">
        <is>
          <t>Walk-in Client</t>
        </is>
      </c>
    </row>
    <row r="45">
      <c r="A45" t="inlineStr">
        <is>
          <t>TRX-0044</t>
        </is>
      </c>
      <c r="B45" t="n">
        <v>46050</v>
      </c>
      <c r="C45" t="inlineStr">
        <is>
          <t>CG-001</t>
        </is>
      </c>
      <c r="D45" t="inlineStr">
        <is>
          <t>Gabriel Samra Coral Gables</t>
        </is>
      </c>
      <c r="E45" t="inlineStr">
        <is>
          <t>Truss</t>
        </is>
      </c>
      <c r="F45" t="inlineStr">
        <is>
          <t>TRU-SER-005</t>
        </is>
      </c>
      <c r="G45" t="inlineStr">
        <is>
          <t>Night Spa Serum</t>
        </is>
      </c>
      <c r="H45" t="inlineStr">
        <is>
          <t>Treatment</t>
        </is>
      </c>
      <c r="I45" t="inlineStr">
        <is>
          <t>Magaly</t>
        </is>
      </c>
      <c r="J45" t="n">
        <v>1</v>
      </c>
      <c r="K45" t="n">
        <v>19.75</v>
      </c>
      <c r="L45" t="n">
        <v>48</v>
      </c>
      <c r="M45" t="n">
        <v>0</v>
      </c>
      <c r="N45">
        <f>J45*L45*(1-M45)</f>
        <v/>
      </c>
      <c r="O45">
        <f>J45*K45</f>
        <v/>
      </c>
      <c r="P45">
        <f>N45-O45</f>
        <v/>
      </c>
      <c r="Q45">
        <f>IF(N45=0,0,P45/N45)</f>
        <v/>
      </c>
      <c r="R45" t="inlineStr">
        <is>
          <t>Cash</t>
        </is>
      </c>
      <c r="S45" t="inlineStr">
        <is>
          <t>Walk-in Client</t>
        </is>
      </c>
    </row>
    <row r="46">
      <c r="A46" t="inlineStr">
        <is>
          <t>TRX-0045</t>
        </is>
      </c>
      <c r="B46" t="n">
        <v>46101</v>
      </c>
      <c r="C46" t="inlineStr">
        <is>
          <t>DR-001</t>
        </is>
      </c>
      <c r="D46" t="inlineStr">
        <is>
          <t>Gabriel Samra Doral</t>
        </is>
      </c>
      <c r="E46" t="inlineStr">
        <is>
          <t>Sutra</t>
        </is>
      </c>
      <c r="F46" t="inlineStr">
        <is>
          <t>SUT-BLO-003</t>
        </is>
      </c>
      <c r="G46" t="inlineStr">
        <is>
          <t>Blowout Brush</t>
        </is>
      </c>
      <c r="H46" t="inlineStr">
        <is>
          <t>Hot Tools</t>
        </is>
      </c>
      <c r="I46" t="inlineStr">
        <is>
          <t>Isaac</t>
        </is>
      </c>
      <c r="J46" t="n">
        <v>2</v>
      </c>
      <c r="K46" t="n">
        <v>48</v>
      </c>
      <c r="L46" t="n">
        <v>119</v>
      </c>
      <c r="M46" t="n">
        <v>0.1</v>
      </c>
      <c r="N46">
        <f>J46*L46*(1-M46)</f>
        <v/>
      </c>
      <c r="O46">
        <f>J46*K46</f>
        <v/>
      </c>
      <c r="P46">
        <f>N46-O46</f>
        <v/>
      </c>
      <c r="Q46">
        <f>IF(N46=0,0,P46/N46)</f>
        <v/>
      </c>
      <c r="R46" t="inlineStr">
        <is>
          <t>Card</t>
        </is>
      </c>
      <c r="S46" t="inlineStr">
        <is>
          <t>Walk-in Client</t>
        </is>
      </c>
    </row>
    <row r="47">
      <c r="A47" t="inlineStr">
        <is>
          <t>TRX-0046</t>
        </is>
      </c>
      <c r="B47" t="n">
        <v>46094</v>
      </c>
      <c r="C47" t="inlineStr">
        <is>
          <t>DR-001</t>
        </is>
      </c>
      <c r="D47" t="inlineStr">
        <is>
          <t>Gabriel Samra Doral</t>
        </is>
      </c>
      <c r="E47" t="inlineStr">
        <is>
          <t>Sutra</t>
        </is>
      </c>
      <c r="F47" t="inlineStr">
        <is>
          <t>SUT-CUR-002</t>
        </is>
      </c>
      <c r="G47" t="inlineStr">
        <is>
          <t>Clipless Curling Iron</t>
        </is>
      </c>
      <c r="H47" t="inlineStr">
        <is>
          <t>Hot Tools</t>
        </is>
      </c>
      <c r="I47" t="inlineStr">
        <is>
          <t>Isaac</t>
        </is>
      </c>
      <c r="J47" t="n">
        <v>2</v>
      </c>
      <c r="K47" t="n">
        <v>42</v>
      </c>
      <c r="L47" t="n">
        <v>99</v>
      </c>
      <c r="M47" t="n">
        <v>0.1</v>
      </c>
      <c r="N47">
        <f>J47*L47*(1-M47)</f>
        <v/>
      </c>
      <c r="O47">
        <f>J47*K47</f>
        <v/>
      </c>
      <c r="P47">
        <f>N47-O47</f>
        <v/>
      </c>
      <c r="Q47">
        <f>IF(N47=0,0,P47/N47)</f>
        <v/>
      </c>
      <c r="R47" t="inlineStr">
        <is>
          <t>Apple Pay</t>
        </is>
      </c>
      <c r="S47" t="inlineStr">
        <is>
          <t>Stylist Recommendation</t>
        </is>
      </c>
    </row>
    <row r="48">
      <c r="A48" t="inlineStr">
        <is>
          <t>TRX-0047</t>
        </is>
      </c>
      <c r="B48" t="n">
        <v>46030</v>
      </c>
      <c r="C48" t="inlineStr">
        <is>
          <t>DR-001</t>
        </is>
      </c>
      <c r="D48" t="inlineStr">
        <is>
          <t>Gabriel Samra Doral</t>
        </is>
      </c>
      <c r="E48" t="inlineStr">
        <is>
          <t>Sutra</t>
        </is>
      </c>
      <c r="F48" t="inlineStr">
        <is>
          <t>SUT-DRY-004</t>
        </is>
      </c>
      <c r="G48" t="inlineStr">
        <is>
          <t>Professional Hair Dryer</t>
        </is>
      </c>
      <c r="H48" t="inlineStr">
        <is>
          <t>Hot Tools</t>
        </is>
      </c>
      <c r="I48" t="inlineStr">
        <is>
          <t>Isaac</t>
        </is>
      </c>
      <c r="J48" t="n">
        <v>1</v>
      </c>
      <c r="K48" t="n">
        <v>62</v>
      </c>
      <c r="L48" t="n">
        <v>149</v>
      </c>
      <c r="M48" t="n">
        <v>0.15</v>
      </c>
      <c r="N48">
        <f>J48*L48*(1-M48)</f>
        <v/>
      </c>
      <c r="O48">
        <f>J48*K48</f>
        <v/>
      </c>
      <c r="P48">
        <f>N48-O48</f>
        <v/>
      </c>
      <c r="Q48">
        <f>IF(N48=0,0,P48/N48)</f>
        <v/>
      </c>
      <c r="R48" t="inlineStr">
        <is>
          <t>Apple Pay</t>
        </is>
      </c>
      <c r="S48" t="inlineStr">
        <is>
          <t>Existing Client</t>
        </is>
      </c>
    </row>
    <row r="49">
      <c r="A49" t="inlineStr">
        <is>
          <t>TRX-0048</t>
        </is>
      </c>
      <c r="B49" t="n">
        <v>46111</v>
      </c>
      <c r="C49" t="inlineStr">
        <is>
          <t>DR-001</t>
        </is>
      </c>
      <c r="D49" t="inlineStr">
        <is>
          <t>Gabriel Samra Doral</t>
        </is>
      </c>
      <c r="E49" t="inlineStr">
        <is>
          <t>Truss</t>
        </is>
      </c>
      <c r="F49" t="inlineStr">
        <is>
          <t>TRU-CND-002</t>
        </is>
      </c>
      <c r="G49" t="inlineStr">
        <is>
          <t>Infusion Conditioner</t>
        </is>
      </c>
      <c r="H49" t="inlineStr">
        <is>
          <t>Hair Care</t>
        </is>
      </c>
      <c r="I49" t="inlineStr">
        <is>
          <t>Magaly</t>
        </is>
      </c>
      <c r="J49" t="n">
        <v>1</v>
      </c>
      <c r="K49" t="n">
        <v>15.25</v>
      </c>
      <c r="L49" t="n">
        <v>34</v>
      </c>
      <c r="M49" t="n">
        <v>0</v>
      </c>
      <c r="N49">
        <f>J49*L49*(1-M49)</f>
        <v/>
      </c>
      <c r="O49">
        <f>J49*K49</f>
        <v/>
      </c>
      <c r="P49">
        <f>N49-O49</f>
        <v/>
      </c>
      <c r="Q49">
        <f>IF(N49=0,0,P49/N49)</f>
        <v/>
      </c>
      <c r="R49" t="inlineStr">
        <is>
          <t>Gift Card</t>
        </is>
      </c>
      <c r="S49" t="inlineStr">
        <is>
          <t>Walk-in Client</t>
        </is>
      </c>
    </row>
    <row r="50">
      <c r="A50" t="inlineStr">
        <is>
          <t>TRX-0049</t>
        </is>
      </c>
      <c r="B50" t="n">
        <v>46134</v>
      </c>
      <c r="C50" t="inlineStr">
        <is>
          <t>CG-001</t>
        </is>
      </c>
      <c r="D50" t="inlineStr">
        <is>
          <t>Gabriel Samra Coral Gables</t>
        </is>
      </c>
      <c r="E50" t="inlineStr">
        <is>
          <t>Truss</t>
        </is>
      </c>
      <c r="F50" t="inlineStr">
        <is>
          <t>TRU-SER-005</t>
        </is>
      </c>
      <c r="G50" t="inlineStr">
        <is>
          <t>Night Spa Serum</t>
        </is>
      </c>
      <c r="H50" t="inlineStr">
        <is>
          <t>Treatment</t>
        </is>
      </c>
      <c r="I50" t="inlineStr">
        <is>
          <t>Isaac</t>
        </is>
      </c>
      <c r="J50" t="n">
        <v>1</v>
      </c>
      <c r="K50" t="n">
        <v>19.75</v>
      </c>
      <c r="L50" t="n">
        <v>48</v>
      </c>
      <c r="M50" t="n">
        <v>0.1</v>
      </c>
      <c r="N50">
        <f>J50*L50*(1-M50)</f>
        <v/>
      </c>
      <c r="O50">
        <f>J50*K50</f>
        <v/>
      </c>
      <c r="P50">
        <f>N50-O50</f>
        <v/>
      </c>
      <c r="Q50">
        <f>IF(N50=0,0,P50/N50)</f>
        <v/>
      </c>
      <c r="R50" t="inlineStr">
        <is>
          <t>Apple Pay</t>
        </is>
      </c>
      <c r="S50" t="inlineStr">
        <is>
          <t>Stylist Recommendation</t>
        </is>
      </c>
    </row>
    <row r="51">
      <c r="A51" t="inlineStr">
        <is>
          <t>TRX-0050</t>
        </is>
      </c>
      <c r="B51" t="n">
        <v>46103</v>
      </c>
      <c r="C51" t="inlineStr">
        <is>
          <t>DR-001</t>
        </is>
      </c>
      <c r="D51" t="inlineStr">
        <is>
          <t>Gabriel Samra Doral</t>
        </is>
      </c>
      <c r="E51" t="inlineStr">
        <is>
          <t>Truss</t>
        </is>
      </c>
      <c r="F51" t="inlineStr">
        <is>
          <t>TRU-CND-002</t>
        </is>
      </c>
      <c r="G51" t="inlineStr">
        <is>
          <t>Infusion Conditioner</t>
        </is>
      </c>
      <c r="H51" t="inlineStr">
        <is>
          <t>Hair Care</t>
        </is>
      </c>
      <c r="I51" t="inlineStr">
        <is>
          <t>Isaac</t>
        </is>
      </c>
      <c r="J51" t="n">
        <v>1</v>
      </c>
      <c r="K51" t="n">
        <v>15.25</v>
      </c>
      <c r="L51" t="n">
        <v>34</v>
      </c>
      <c r="M51" t="n">
        <v>0</v>
      </c>
      <c r="N51">
        <f>J51*L51*(1-M51)</f>
        <v/>
      </c>
      <c r="O51">
        <f>J51*K51</f>
        <v/>
      </c>
      <c r="P51">
        <f>N51-O51</f>
        <v/>
      </c>
      <c r="Q51">
        <f>IF(N51=0,0,P51/N51)</f>
        <v/>
      </c>
      <c r="R51" t="inlineStr">
        <is>
          <t>Apple Pay</t>
        </is>
      </c>
      <c r="S51" t="inlineStr">
        <is>
          <t>Stylist Recommendation</t>
        </is>
      </c>
    </row>
    <row r="52">
      <c r="A52" t="inlineStr">
        <is>
          <t>TRX-0051</t>
        </is>
      </c>
      <c r="B52" t="n">
        <v>46098</v>
      </c>
      <c r="C52" t="inlineStr">
        <is>
          <t>DR-001</t>
        </is>
      </c>
      <c r="D52" t="inlineStr">
        <is>
          <t>Gabriel Samra Doral</t>
        </is>
      </c>
      <c r="E52" t="inlineStr">
        <is>
          <t>Sutra</t>
        </is>
      </c>
      <c r="F52" t="inlineStr">
        <is>
          <t>SUT-FIR-001</t>
        </is>
      </c>
      <c r="G52" t="inlineStr">
        <is>
          <t>Mini Flat Iron</t>
        </is>
      </c>
      <c r="H52" t="inlineStr">
        <is>
          <t>Hot Tools</t>
        </is>
      </c>
      <c r="I52" t="inlineStr">
        <is>
          <t>Melia</t>
        </is>
      </c>
      <c r="J52" t="n">
        <v>1</v>
      </c>
      <c r="K52" t="n">
        <v>38</v>
      </c>
      <c r="L52" t="n">
        <v>89</v>
      </c>
      <c r="M52" t="n">
        <v>0</v>
      </c>
      <c r="N52">
        <f>J52*L52*(1-M52)</f>
        <v/>
      </c>
      <c r="O52">
        <f>J52*K52</f>
        <v/>
      </c>
      <c r="P52">
        <f>N52-O52</f>
        <v/>
      </c>
      <c r="Q52">
        <f>IF(N52=0,0,P52/N52)</f>
        <v/>
      </c>
      <c r="R52" t="inlineStr">
        <is>
          <t>Cash</t>
        </is>
      </c>
      <c r="S52" t="inlineStr">
        <is>
          <t>Post-Service Retail</t>
        </is>
      </c>
    </row>
    <row r="53">
      <c r="A53" t="inlineStr">
        <is>
          <t>TRX-0052</t>
        </is>
      </c>
      <c r="B53" t="n">
        <v>46100</v>
      </c>
      <c r="C53" t="inlineStr">
        <is>
          <t>CG-001</t>
        </is>
      </c>
      <c r="D53" t="inlineStr">
        <is>
          <t>Gabriel Samra Coral Gables</t>
        </is>
      </c>
      <c r="E53" t="inlineStr">
        <is>
          <t>Sutra</t>
        </is>
      </c>
      <c r="F53" t="inlineStr">
        <is>
          <t>SUT-CUR-002</t>
        </is>
      </c>
      <c r="G53" t="inlineStr">
        <is>
          <t>Clipless Curling Iron</t>
        </is>
      </c>
      <c r="H53" t="inlineStr">
        <is>
          <t>Hot Tools</t>
        </is>
      </c>
      <c r="I53" t="inlineStr">
        <is>
          <t>Melia</t>
        </is>
      </c>
      <c r="J53" t="n">
        <v>1</v>
      </c>
      <c r="K53" t="n">
        <v>42</v>
      </c>
      <c r="L53" t="n">
        <v>99</v>
      </c>
      <c r="M53" t="n">
        <v>0</v>
      </c>
      <c r="N53">
        <f>J53*L53*(1-M53)</f>
        <v/>
      </c>
      <c r="O53">
        <f>J53*K53</f>
        <v/>
      </c>
      <c r="P53">
        <f>N53-O53</f>
        <v/>
      </c>
      <c r="Q53">
        <f>IF(N53=0,0,P53/N53)</f>
        <v/>
      </c>
      <c r="R53" t="inlineStr">
        <is>
          <t>Gift Card</t>
        </is>
      </c>
      <c r="S53" t="inlineStr">
        <is>
          <t>Stylist Recommendation</t>
        </is>
      </c>
    </row>
    <row r="54">
      <c r="A54" t="inlineStr">
        <is>
          <t>TRX-0053</t>
        </is>
      </c>
      <c r="B54" t="n">
        <v>46153</v>
      </c>
      <c r="C54" t="inlineStr">
        <is>
          <t>CG-001</t>
        </is>
      </c>
      <c r="D54" t="inlineStr">
        <is>
          <t>Gabriel Samra Coral Gables</t>
        </is>
      </c>
      <c r="E54" t="inlineStr">
        <is>
          <t>Sutra</t>
        </is>
      </c>
      <c r="F54" t="inlineStr">
        <is>
          <t>SUT-BLO-003</t>
        </is>
      </c>
      <c r="G54" t="inlineStr">
        <is>
          <t>Blowout Brush</t>
        </is>
      </c>
      <c r="H54" t="inlineStr">
        <is>
          <t>Hot Tools</t>
        </is>
      </c>
      <c r="I54" t="inlineStr">
        <is>
          <t>Isaac</t>
        </is>
      </c>
      <c r="J54" t="n">
        <v>1</v>
      </c>
      <c r="K54" t="n">
        <v>48</v>
      </c>
      <c r="L54" t="n">
        <v>119</v>
      </c>
      <c r="M54" t="n">
        <v>0.1</v>
      </c>
      <c r="N54">
        <f>J54*L54*(1-M54)</f>
        <v/>
      </c>
      <c r="O54">
        <f>J54*K54</f>
        <v/>
      </c>
      <c r="P54">
        <f>N54-O54</f>
        <v/>
      </c>
      <c r="Q54">
        <f>IF(N54=0,0,P54/N54)</f>
        <v/>
      </c>
      <c r="R54" t="inlineStr">
        <is>
          <t>Card</t>
        </is>
      </c>
      <c r="S54" t="inlineStr">
        <is>
          <t>Post-Service Retail</t>
        </is>
      </c>
    </row>
    <row r="55">
      <c r="A55" t="inlineStr">
        <is>
          <t>TRX-0054</t>
        </is>
      </c>
      <c r="B55" t="n">
        <v>46046</v>
      </c>
      <c r="C55" t="inlineStr">
        <is>
          <t>DR-001</t>
        </is>
      </c>
      <c r="D55" t="inlineStr">
        <is>
          <t>Gabriel Samra Doral</t>
        </is>
      </c>
      <c r="E55" t="inlineStr">
        <is>
          <t>Sutra</t>
        </is>
      </c>
      <c r="F55" t="inlineStr">
        <is>
          <t>SUT-DRY-004</t>
        </is>
      </c>
      <c r="G55" t="inlineStr">
        <is>
          <t>Professional Hair Dryer</t>
        </is>
      </c>
      <c r="H55" t="inlineStr">
        <is>
          <t>Hot Tools</t>
        </is>
      </c>
      <c r="I55" t="inlineStr">
        <is>
          <t>Isaac</t>
        </is>
      </c>
      <c r="J55" t="n">
        <v>2</v>
      </c>
      <c r="K55" t="n">
        <v>62</v>
      </c>
      <c r="L55" t="n">
        <v>149</v>
      </c>
      <c r="M55" t="n">
        <v>0.05</v>
      </c>
      <c r="N55">
        <f>J55*L55*(1-M55)</f>
        <v/>
      </c>
      <c r="O55">
        <f>J55*K55</f>
        <v/>
      </c>
      <c r="P55">
        <f>N55-O55</f>
        <v/>
      </c>
      <c r="Q55">
        <f>IF(N55=0,0,P55/N55)</f>
        <v/>
      </c>
      <c r="R55" t="inlineStr">
        <is>
          <t>Cash</t>
        </is>
      </c>
      <c r="S55" t="inlineStr">
        <is>
          <t>Walk-in Client</t>
        </is>
      </c>
    </row>
    <row r="56">
      <c r="A56" t="inlineStr">
        <is>
          <t>TRX-0055</t>
        </is>
      </c>
      <c r="B56" t="n">
        <v>46034</v>
      </c>
      <c r="C56" t="inlineStr">
        <is>
          <t>CG-001</t>
        </is>
      </c>
      <c r="D56" t="inlineStr">
        <is>
          <t>Gabriel Samra Coral Gables</t>
        </is>
      </c>
      <c r="E56" t="inlineStr">
        <is>
          <t>Truss</t>
        </is>
      </c>
      <c r="F56" t="inlineStr">
        <is>
          <t>TRU-MSK-003</t>
        </is>
      </c>
      <c r="G56" t="inlineStr">
        <is>
          <t>Net Mask</t>
        </is>
      </c>
      <c r="H56" t="inlineStr">
        <is>
          <t>Treatment</t>
        </is>
      </c>
      <c r="I56" t="inlineStr">
        <is>
          <t>Magaly</t>
        </is>
      </c>
      <c r="J56" t="n">
        <v>1</v>
      </c>
      <c r="K56" t="n">
        <v>20</v>
      </c>
      <c r="L56" t="n">
        <v>45</v>
      </c>
      <c r="M56" t="n">
        <v>0</v>
      </c>
      <c r="N56">
        <f>J56*L56*(1-M56)</f>
        <v/>
      </c>
      <c r="O56">
        <f>J56*K56</f>
        <v/>
      </c>
      <c r="P56">
        <f>N56-O56</f>
        <v/>
      </c>
      <c r="Q56">
        <f>IF(N56=0,0,P56/N56)</f>
        <v/>
      </c>
      <c r="R56" t="inlineStr">
        <is>
          <t>Gift Card</t>
        </is>
      </c>
      <c r="S56" t="inlineStr">
        <is>
          <t>Stylist Recommendation</t>
        </is>
      </c>
    </row>
    <row r="57">
      <c r="A57" t="inlineStr">
        <is>
          <t>TRX-0056</t>
        </is>
      </c>
      <c r="B57" t="n">
        <v>46121</v>
      </c>
      <c r="C57" t="inlineStr">
        <is>
          <t>CG-001</t>
        </is>
      </c>
      <c r="D57" t="inlineStr">
        <is>
          <t>Gabriel Samra Coral Gables</t>
        </is>
      </c>
      <c r="E57" t="inlineStr">
        <is>
          <t>Sutra</t>
        </is>
      </c>
      <c r="F57" t="inlineStr">
        <is>
          <t>SUT-HSP-005</t>
        </is>
      </c>
      <c r="G57" t="inlineStr">
        <is>
          <t>Heat Spray</t>
        </is>
      </c>
      <c r="H57" t="inlineStr">
        <is>
          <t>Styling</t>
        </is>
      </c>
      <c r="I57" t="inlineStr">
        <is>
          <t>Melia</t>
        </is>
      </c>
      <c r="J57" t="n">
        <v>1</v>
      </c>
      <c r="K57" t="n">
        <v>9.5</v>
      </c>
      <c r="L57" t="n">
        <v>24</v>
      </c>
      <c r="M57" t="n">
        <v>0</v>
      </c>
      <c r="N57">
        <f>J57*L57*(1-M57)</f>
        <v/>
      </c>
      <c r="O57">
        <f>J57*K57</f>
        <v/>
      </c>
      <c r="P57">
        <f>N57-O57</f>
        <v/>
      </c>
      <c r="Q57">
        <f>IF(N57=0,0,P57/N57)</f>
        <v/>
      </c>
      <c r="R57" t="inlineStr">
        <is>
          <t>Card</t>
        </is>
      </c>
      <c r="S57" t="inlineStr">
        <is>
          <t>Stylist Recommendation</t>
        </is>
      </c>
    </row>
    <row r="58">
      <c r="A58" t="inlineStr">
        <is>
          <t>TRX-0057</t>
        </is>
      </c>
      <c r="B58" t="n">
        <v>46155</v>
      </c>
      <c r="C58" t="inlineStr">
        <is>
          <t>CG-001</t>
        </is>
      </c>
      <c r="D58" t="inlineStr">
        <is>
          <t>Gabriel Samra Coral Gables</t>
        </is>
      </c>
      <c r="E58" t="inlineStr">
        <is>
          <t>Truss</t>
        </is>
      </c>
      <c r="F58" t="inlineStr">
        <is>
          <t>TRU-OIL-004</t>
        </is>
      </c>
      <c r="G58" t="inlineStr">
        <is>
          <t>Deluxe Prime Oil</t>
        </is>
      </c>
      <c r="H58" t="inlineStr">
        <is>
          <t>Finishing</t>
        </is>
      </c>
      <c r="I58" t="inlineStr">
        <is>
          <t>Magaly</t>
        </is>
      </c>
      <c r="J58" t="n">
        <v>1</v>
      </c>
      <c r="K58" t="n">
        <v>18</v>
      </c>
      <c r="L58" t="n">
        <v>42</v>
      </c>
      <c r="M58" t="n">
        <v>0</v>
      </c>
      <c r="N58">
        <f>J58*L58*(1-M58)</f>
        <v/>
      </c>
      <c r="O58">
        <f>J58*K58</f>
        <v/>
      </c>
      <c r="P58">
        <f>N58-O58</f>
        <v/>
      </c>
      <c r="Q58">
        <f>IF(N58=0,0,P58/N58)</f>
        <v/>
      </c>
      <c r="R58" t="inlineStr">
        <is>
          <t>Gift Card</t>
        </is>
      </c>
      <c r="S58" t="inlineStr">
        <is>
          <t>Walk-in Client</t>
        </is>
      </c>
    </row>
    <row r="59">
      <c r="A59" t="inlineStr">
        <is>
          <t>TRX-0058</t>
        </is>
      </c>
      <c r="B59" t="n">
        <v>46136</v>
      </c>
      <c r="C59" t="inlineStr">
        <is>
          <t>DR-001</t>
        </is>
      </c>
      <c r="D59" t="inlineStr">
        <is>
          <t>Gabriel Samra Doral</t>
        </is>
      </c>
      <c r="E59" t="inlineStr">
        <is>
          <t>Sutra</t>
        </is>
      </c>
      <c r="F59" t="inlineStr">
        <is>
          <t>SUT-BLO-003</t>
        </is>
      </c>
      <c r="G59" t="inlineStr">
        <is>
          <t>Blowout Brush</t>
        </is>
      </c>
      <c r="H59" t="inlineStr">
        <is>
          <t>Hot Tools</t>
        </is>
      </c>
      <c r="I59" t="inlineStr">
        <is>
          <t>Melia</t>
        </is>
      </c>
      <c r="J59" t="n">
        <v>1</v>
      </c>
      <c r="K59" t="n">
        <v>48</v>
      </c>
      <c r="L59" t="n">
        <v>119</v>
      </c>
      <c r="M59" t="n">
        <v>0.05</v>
      </c>
      <c r="N59">
        <f>J59*L59*(1-M59)</f>
        <v/>
      </c>
      <c r="O59">
        <f>J59*K59</f>
        <v/>
      </c>
      <c r="P59">
        <f>N59-O59</f>
        <v/>
      </c>
      <c r="Q59">
        <f>IF(N59=0,0,P59/N59)</f>
        <v/>
      </c>
      <c r="R59" t="inlineStr">
        <is>
          <t>Gift Card</t>
        </is>
      </c>
      <c r="S59" t="inlineStr">
        <is>
          <t>Walk-in Client</t>
        </is>
      </c>
    </row>
    <row r="60">
      <c r="A60" t="inlineStr">
        <is>
          <t>TRX-0059</t>
        </is>
      </c>
      <c r="B60" t="n">
        <v>46089</v>
      </c>
      <c r="C60" t="inlineStr">
        <is>
          <t>DR-001</t>
        </is>
      </c>
      <c r="D60" t="inlineStr">
        <is>
          <t>Gabriel Samra Doral</t>
        </is>
      </c>
      <c r="E60" t="inlineStr">
        <is>
          <t>Sutra</t>
        </is>
      </c>
      <c r="F60" t="inlineStr">
        <is>
          <t>SUT-BLO-003</t>
        </is>
      </c>
      <c r="G60" t="inlineStr">
        <is>
          <t>Blowout Brush</t>
        </is>
      </c>
      <c r="H60" t="inlineStr">
        <is>
          <t>Hot Tools</t>
        </is>
      </c>
      <c r="I60" t="inlineStr">
        <is>
          <t>Isaac</t>
        </is>
      </c>
      <c r="J60" t="n">
        <v>2</v>
      </c>
      <c r="K60" t="n">
        <v>48</v>
      </c>
      <c r="L60" t="n">
        <v>119</v>
      </c>
      <c r="M60" t="n">
        <v>0.05</v>
      </c>
      <c r="N60">
        <f>J60*L60*(1-M60)</f>
        <v/>
      </c>
      <c r="O60">
        <f>J60*K60</f>
        <v/>
      </c>
      <c r="P60">
        <f>N60-O60</f>
        <v/>
      </c>
      <c r="Q60">
        <f>IF(N60=0,0,P60/N60)</f>
        <v/>
      </c>
      <c r="R60" t="inlineStr">
        <is>
          <t>Gift Card</t>
        </is>
      </c>
      <c r="S60" t="inlineStr">
        <is>
          <t>Walk-in Client</t>
        </is>
      </c>
    </row>
    <row r="61">
      <c r="A61" t="inlineStr">
        <is>
          <t>TRX-0060</t>
        </is>
      </c>
      <c r="B61" t="n">
        <v>46042</v>
      </c>
      <c r="C61" t="inlineStr">
        <is>
          <t>DR-001</t>
        </is>
      </c>
      <c r="D61" t="inlineStr">
        <is>
          <t>Gabriel Samra Doral</t>
        </is>
      </c>
      <c r="E61" t="inlineStr">
        <is>
          <t>Truss</t>
        </is>
      </c>
      <c r="F61" t="inlineStr">
        <is>
          <t>TRU-SER-005</t>
        </is>
      </c>
      <c r="G61" t="inlineStr">
        <is>
          <t>Night Spa Serum</t>
        </is>
      </c>
      <c r="H61" t="inlineStr">
        <is>
          <t>Treatment</t>
        </is>
      </c>
      <c r="I61" t="inlineStr">
        <is>
          <t>Melia</t>
        </is>
      </c>
      <c r="J61" t="n">
        <v>1</v>
      </c>
      <c r="K61" t="n">
        <v>19.75</v>
      </c>
      <c r="L61" t="n">
        <v>48</v>
      </c>
      <c r="M61" t="n">
        <v>0</v>
      </c>
      <c r="N61">
        <f>J61*L61*(1-M61)</f>
        <v/>
      </c>
      <c r="O61">
        <f>J61*K61</f>
        <v/>
      </c>
      <c r="P61">
        <f>N61-O61</f>
        <v/>
      </c>
      <c r="Q61">
        <f>IF(N61=0,0,P61/N61)</f>
        <v/>
      </c>
      <c r="R61" t="inlineStr">
        <is>
          <t>Apple Pay</t>
        </is>
      </c>
      <c r="S61" t="inlineStr">
        <is>
          <t>Existing Client</t>
        </is>
      </c>
    </row>
    <row r="62">
      <c r="A62" t="inlineStr">
        <is>
          <t>TRX-0061</t>
        </is>
      </c>
      <c r="B62" t="n">
        <v>46082</v>
      </c>
      <c r="C62" t="inlineStr">
        <is>
          <t>CG-001</t>
        </is>
      </c>
      <c r="D62" t="inlineStr">
        <is>
          <t>Gabriel Samra Coral Gables</t>
        </is>
      </c>
      <c r="E62" t="inlineStr">
        <is>
          <t>Truss</t>
        </is>
      </c>
      <c r="F62" t="inlineStr">
        <is>
          <t>TRU-MSK-003</t>
        </is>
      </c>
      <c r="G62" t="inlineStr">
        <is>
          <t>Net Mask</t>
        </is>
      </c>
      <c r="H62" t="inlineStr">
        <is>
          <t>Treatment</t>
        </is>
      </c>
      <c r="I62" t="inlineStr">
        <is>
          <t>Isaac</t>
        </is>
      </c>
      <c r="J62" t="n">
        <v>1</v>
      </c>
      <c r="K62" t="n">
        <v>20</v>
      </c>
      <c r="L62" t="n">
        <v>45</v>
      </c>
      <c r="M62" t="n">
        <v>0</v>
      </c>
      <c r="N62">
        <f>J62*L62*(1-M62)</f>
        <v/>
      </c>
      <c r="O62">
        <f>J62*K62</f>
        <v/>
      </c>
      <c r="P62">
        <f>N62-O62</f>
        <v/>
      </c>
      <c r="Q62">
        <f>IF(N62=0,0,P62/N62)</f>
        <v/>
      </c>
      <c r="R62" t="inlineStr">
        <is>
          <t>Card</t>
        </is>
      </c>
      <c r="S62" t="inlineStr">
        <is>
          <t>Stylist Recommendation</t>
        </is>
      </c>
    </row>
    <row r="63">
      <c r="A63" t="inlineStr">
        <is>
          <t>TRX-0062</t>
        </is>
      </c>
      <c r="B63" t="n">
        <v>46161</v>
      </c>
      <c r="C63" t="inlineStr">
        <is>
          <t>DR-001</t>
        </is>
      </c>
      <c r="D63" t="inlineStr">
        <is>
          <t>Gabriel Samra Doral</t>
        </is>
      </c>
      <c r="E63" t="inlineStr">
        <is>
          <t>Sutra</t>
        </is>
      </c>
      <c r="F63" t="inlineStr">
        <is>
          <t>SUT-CUR-002</t>
        </is>
      </c>
      <c r="G63" t="inlineStr">
        <is>
          <t>Clipless Curling Iron</t>
        </is>
      </c>
      <c r="H63" t="inlineStr">
        <is>
          <t>Hot Tools</t>
        </is>
      </c>
      <c r="I63" t="inlineStr">
        <is>
          <t>Melia</t>
        </is>
      </c>
      <c r="J63" t="n">
        <v>1</v>
      </c>
      <c r="K63" t="n">
        <v>42</v>
      </c>
      <c r="L63" t="n">
        <v>99</v>
      </c>
      <c r="M63" t="n">
        <v>0</v>
      </c>
      <c r="N63">
        <f>J63*L63*(1-M63)</f>
        <v/>
      </c>
      <c r="O63">
        <f>J63*K63</f>
        <v/>
      </c>
      <c r="P63">
        <f>N63-O63</f>
        <v/>
      </c>
      <c r="Q63">
        <f>IF(N63=0,0,P63/N63)</f>
        <v/>
      </c>
      <c r="R63" t="inlineStr">
        <is>
          <t>Gift Card</t>
        </is>
      </c>
      <c r="S63" t="inlineStr">
        <is>
          <t>Existing Client</t>
        </is>
      </c>
    </row>
    <row r="64">
      <c r="A64" t="inlineStr">
        <is>
          <t>TRX-0063</t>
        </is>
      </c>
      <c r="B64" t="n">
        <v>46145</v>
      </c>
      <c r="C64" t="inlineStr">
        <is>
          <t>DR-001</t>
        </is>
      </c>
      <c r="D64" t="inlineStr">
        <is>
          <t>Gabriel Samra Doral</t>
        </is>
      </c>
      <c r="E64" t="inlineStr">
        <is>
          <t>Sutra</t>
        </is>
      </c>
      <c r="F64" t="inlineStr">
        <is>
          <t>SUT-HSP-005</t>
        </is>
      </c>
      <c r="G64" t="inlineStr">
        <is>
          <t>Heat Spray</t>
        </is>
      </c>
      <c r="H64" t="inlineStr">
        <is>
          <t>Styling</t>
        </is>
      </c>
      <c r="I64" t="inlineStr">
        <is>
          <t>Melia</t>
        </is>
      </c>
      <c r="J64" t="n">
        <v>1</v>
      </c>
      <c r="K64" t="n">
        <v>9.5</v>
      </c>
      <c r="L64" t="n">
        <v>24</v>
      </c>
      <c r="M64" t="n">
        <v>0</v>
      </c>
      <c r="N64">
        <f>J64*L64*(1-M64)</f>
        <v/>
      </c>
      <c r="O64">
        <f>J64*K64</f>
        <v/>
      </c>
      <c r="P64">
        <f>N64-O64</f>
        <v/>
      </c>
      <c r="Q64">
        <f>IF(N64=0,0,P64/N64)</f>
        <v/>
      </c>
      <c r="R64" t="inlineStr">
        <is>
          <t>Gift Card</t>
        </is>
      </c>
      <c r="S64" t="inlineStr">
        <is>
          <t>Walk-in Client</t>
        </is>
      </c>
    </row>
    <row r="65">
      <c r="A65" t="inlineStr">
        <is>
          <t>TRX-0064</t>
        </is>
      </c>
      <c r="B65" t="n">
        <v>46092</v>
      </c>
      <c r="C65" t="inlineStr">
        <is>
          <t>CG-001</t>
        </is>
      </c>
      <c r="D65" t="inlineStr">
        <is>
          <t>Gabriel Samra Coral Gables</t>
        </is>
      </c>
      <c r="E65" t="inlineStr">
        <is>
          <t>Sutra</t>
        </is>
      </c>
      <c r="F65" t="inlineStr">
        <is>
          <t>SUT-BLO-003</t>
        </is>
      </c>
      <c r="G65" t="inlineStr">
        <is>
          <t>Blowout Brush</t>
        </is>
      </c>
      <c r="H65" t="inlineStr">
        <is>
          <t>Hot Tools</t>
        </is>
      </c>
      <c r="I65" t="inlineStr">
        <is>
          <t>Melia</t>
        </is>
      </c>
      <c r="J65" t="n">
        <v>1</v>
      </c>
      <c r="K65" t="n">
        <v>48</v>
      </c>
      <c r="L65" t="n">
        <v>119</v>
      </c>
      <c r="M65" t="n">
        <v>0</v>
      </c>
      <c r="N65">
        <f>J65*L65*(1-M65)</f>
        <v/>
      </c>
      <c r="O65">
        <f>J65*K65</f>
        <v/>
      </c>
      <c r="P65">
        <f>N65-O65</f>
        <v/>
      </c>
      <c r="Q65">
        <f>IF(N65=0,0,P65/N65)</f>
        <v/>
      </c>
      <c r="R65" t="inlineStr">
        <is>
          <t>Gift Card</t>
        </is>
      </c>
      <c r="S65" t="inlineStr">
        <is>
          <t>Walk-in Client</t>
        </is>
      </c>
    </row>
    <row r="66">
      <c r="A66" t="inlineStr">
        <is>
          <t>TRX-0065</t>
        </is>
      </c>
      <c r="B66" t="n">
        <v>46159</v>
      </c>
      <c r="C66" t="inlineStr">
        <is>
          <t>CG-001</t>
        </is>
      </c>
      <c r="D66" t="inlineStr">
        <is>
          <t>Gabriel Samra Coral Gables</t>
        </is>
      </c>
      <c r="E66" t="inlineStr">
        <is>
          <t>Sutra</t>
        </is>
      </c>
      <c r="F66" t="inlineStr">
        <is>
          <t>SUT-BLO-003</t>
        </is>
      </c>
      <c r="G66" t="inlineStr">
        <is>
          <t>Blowout Brush</t>
        </is>
      </c>
      <c r="H66" t="inlineStr">
        <is>
          <t>Hot Tools</t>
        </is>
      </c>
      <c r="I66" t="inlineStr">
        <is>
          <t>Melia</t>
        </is>
      </c>
      <c r="J66" t="n">
        <v>1</v>
      </c>
      <c r="K66" t="n">
        <v>48</v>
      </c>
      <c r="L66" t="n">
        <v>119</v>
      </c>
      <c r="M66" t="n">
        <v>0</v>
      </c>
      <c r="N66">
        <f>J66*L66*(1-M66)</f>
        <v/>
      </c>
      <c r="O66">
        <f>J66*K66</f>
        <v/>
      </c>
      <c r="P66">
        <f>N66-O66</f>
        <v/>
      </c>
      <c r="Q66">
        <f>IF(N66=0,0,P66/N66)</f>
        <v/>
      </c>
      <c r="R66" t="inlineStr">
        <is>
          <t>Card</t>
        </is>
      </c>
      <c r="S66" t="inlineStr">
        <is>
          <t>Stylist Recommendation</t>
        </is>
      </c>
    </row>
    <row r="67">
      <c r="A67" t="inlineStr">
        <is>
          <t>TRX-0066</t>
        </is>
      </c>
      <c r="B67" t="n">
        <v>46069</v>
      </c>
      <c r="C67" t="inlineStr">
        <is>
          <t>DR-001</t>
        </is>
      </c>
      <c r="D67" t="inlineStr">
        <is>
          <t>Gabriel Samra Doral</t>
        </is>
      </c>
      <c r="E67" t="inlineStr">
        <is>
          <t>Truss</t>
        </is>
      </c>
      <c r="F67" t="inlineStr">
        <is>
          <t>TRU-MSK-003</t>
        </is>
      </c>
      <c r="G67" t="inlineStr">
        <is>
          <t>Net Mask</t>
        </is>
      </c>
      <c r="H67" t="inlineStr">
        <is>
          <t>Treatment</t>
        </is>
      </c>
      <c r="I67" t="inlineStr">
        <is>
          <t>Isaac</t>
        </is>
      </c>
      <c r="J67" t="n">
        <v>1</v>
      </c>
      <c r="K67" t="n">
        <v>20</v>
      </c>
      <c r="L67" t="n">
        <v>45</v>
      </c>
      <c r="M67" t="n">
        <v>0</v>
      </c>
      <c r="N67">
        <f>J67*L67*(1-M67)</f>
        <v/>
      </c>
      <c r="O67">
        <f>J67*K67</f>
        <v/>
      </c>
      <c r="P67">
        <f>N67-O67</f>
        <v/>
      </c>
      <c r="Q67">
        <f>IF(N67=0,0,P67/N67)</f>
        <v/>
      </c>
      <c r="R67" t="inlineStr">
        <is>
          <t>Gift Card</t>
        </is>
      </c>
      <c r="S67" t="inlineStr">
        <is>
          <t>Post-Service Retail</t>
        </is>
      </c>
    </row>
    <row r="68">
      <c r="A68" t="inlineStr">
        <is>
          <t>TRX-0067</t>
        </is>
      </c>
      <c r="B68" t="n">
        <v>46094</v>
      </c>
      <c r="C68" t="inlineStr">
        <is>
          <t>DR-001</t>
        </is>
      </c>
      <c r="D68" t="inlineStr">
        <is>
          <t>Gabriel Samra Doral</t>
        </is>
      </c>
      <c r="E68" t="inlineStr">
        <is>
          <t>Sutra</t>
        </is>
      </c>
      <c r="F68" t="inlineStr">
        <is>
          <t>SUT-FIR-001</t>
        </is>
      </c>
      <c r="G68" t="inlineStr">
        <is>
          <t>Mini Flat Iron</t>
        </is>
      </c>
      <c r="H68" t="inlineStr">
        <is>
          <t>Hot Tools</t>
        </is>
      </c>
      <c r="I68" t="inlineStr">
        <is>
          <t>Isaac</t>
        </is>
      </c>
      <c r="J68" t="n">
        <v>2</v>
      </c>
      <c r="K68" t="n">
        <v>38</v>
      </c>
      <c r="L68" t="n">
        <v>89</v>
      </c>
      <c r="M68" t="n">
        <v>0.05</v>
      </c>
      <c r="N68">
        <f>J68*L68*(1-M68)</f>
        <v/>
      </c>
      <c r="O68">
        <f>J68*K68</f>
        <v/>
      </c>
      <c r="P68">
        <f>N68-O68</f>
        <v/>
      </c>
      <c r="Q68">
        <f>IF(N68=0,0,P68/N68)</f>
        <v/>
      </c>
      <c r="R68" t="inlineStr">
        <is>
          <t>Card</t>
        </is>
      </c>
      <c r="S68" t="inlineStr">
        <is>
          <t>Stylist Recommendation</t>
        </is>
      </c>
    </row>
    <row r="69">
      <c r="A69" t="inlineStr">
        <is>
          <t>TRX-0068</t>
        </is>
      </c>
      <c r="B69" t="n">
        <v>46112</v>
      </c>
      <c r="C69" t="inlineStr">
        <is>
          <t>CG-001</t>
        </is>
      </c>
      <c r="D69" t="inlineStr">
        <is>
          <t>Gabriel Samra Coral Gables</t>
        </is>
      </c>
      <c r="E69" t="inlineStr">
        <is>
          <t>Truss</t>
        </is>
      </c>
      <c r="F69" t="inlineStr">
        <is>
          <t>TRU-SHP-001</t>
        </is>
      </c>
      <c r="G69" t="inlineStr">
        <is>
          <t>Infusion Shampoo</t>
        </is>
      </c>
      <c r="H69" t="inlineStr">
        <is>
          <t>Hair Care</t>
        </is>
      </c>
      <c r="I69" t="inlineStr">
        <is>
          <t>Melia</t>
        </is>
      </c>
      <c r="J69" t="n">
        <v>1</v>
      </c>
      <c r="K69" t="n">
        <v>14.5</v>
      </c>
      <c r="L69" t="n">
        <v>32</v>
      </c>
      <c r="M69" t="n">
        <v>0</v>
      </c>
      <c r="N69">
        <f>J69*L69*(1-M69)</f>
        <v/>
      </c>
      <c r="O69">
        <f>J69*K69</f>
        <v/>
      </c>
      <c r="P69">
        <f>N69-O69</f>
        <v/>
      </c>
      <c r="Q69">
        <f>IF(N69=0,0,P69/N69)</f>
        <v/>
      </c>
      <c r="R69" t="inlineStr">
        <is>
          <t>Card</t>
        </is>
      </c>
      <c r="S69" t="inlineStr">
        <is>
          <t>Walk-in Client</t>
        </is>
      </c>
    </row>
    <row r="70">
      <c r="A70" t="inlineStr">
        <is>
          <t>TRX-0069</t>
        </is>
      </c>
      <c r="B70" t="n">
        <v>46062</v>
      </c>
      <c r="C70" t="inlineStr">
        <is>
          <t>CG-001</t>
        </is>
      </c>
      <c r="D70" t="inlineStr">
        <is>
          <t>Gabriel Samra Coral Gables</t>
        </is>
      </c>
      <c r="E70" t="inlineStr">
        <is>
          <t>Truss</t>
        </is>
      </c>
      <c r="F70" t="inlineStr">
        <is>
          <t>TRU-OIL-004</t>
        </is>
      </c>
      <c r="G70" t="inlineStr">
        <is>
          <t>Deluxe Prime Oil</t>
        </is>
      </c>
      <c r="H70" t="inlineStr">
        <is>
          <t>Finishing</t>
        </is>
      </c>
      <c r="I70" t="inlineStr">
        <is>
          <t>Magaly</t>
        </is>
      </c>
      <c r="J70" t="n">
        <v>1</v>
      </c>
      <c r="K70" t="n">
        <v>18</v>
      </c>
      <c r="L70" t="n">
        <v>42</v>
      </c>
      <c r="M70" t="n">
        <v>0</v>
      </c>
      <c r="N70">
        <f>J70*L70*(1-M70)</f>
        <v/>
      </c>
      <c r="O70">
        <f>J70*K70</f>
        <v/>
      </c>
      <c r="P70">
        <f>N70-O70</f>
        <v/>
      </c>
      <c r="Q70">
        <f>IF(N70=0,0,P70/N70)</f>
        <v/>
      </c>
      <c r="R70" t="inlineStr">
        <is>
          <t>Cash</t>
        </is>
      </c>
      <c r="S70" t="inlineStr">
        <is>
          <t>Stylist Recommendation</t>
        </is>
      </c>
    </row>
    <row r="71">
      <c r="A71" t="inlineStr">
        <is>
          <t>TRX-0070</t>
        </is>
      </c>
      <c r="B71" t="n">
        <v>46065</v>
      </c>
      <c r="C71" t="inlineStr">
        <is>
          <t>DR-001</t>
        </is>
      </c>
      <c r="D71" t="inlineStr">
        <is>
          <t>Gabriel Samra Doral</t>
        </is>
      </c>
      <c r="E71" t="inlineStr">
        <is>
          <t>Truss</t>
        </is>
      </c>
      <c r="F71" t="inlineStr">
        <is>
          <t>TRU-SER-005</t>
        </is>
      </c>
      <c r="G71" t="inlineStr">
        <is>
          <t>Night Spa Serum</t>
        </is>
      </c>
      <c r="H71" t="inlineStr">
        <is>
          <t>Treatment</t>
        </is>
      </c>
      <c r="I71" t="inlineStr">
        <is>
          <t>Magaly</t>
        </is>
      </c>
      <c r="J71" t="n">
        <v>1</v>
      </c>
      <c r="K71" t="n">
        <v>19.75</v>
      </c>
      <c r="L71" t="n">
        <v>48</v>
      </c>
      <c r="M71" t="n">
        <v>0.1</v>
      </c>
      <c r="N71">
        <f>J71*L71*(1-M71)</f>
        <v/>
      </c>
      <c r="O71">
        <f>J71*K71</f>
        <v/>
      </c>
      <c r="P71">
        <f>N71-O71</f>
        <v/>
      </c>
      <c r="Q71">
        <f>IF(N71=0,0,P71/N71)</f>
        <v/>
      </c>
      <c r="R71" t="inlineStr">
        <is>
          <t>Cash</t>
        </is>
      </c>
      <c r="S71" t="inlineStr">
        <is>
          <t>Post-Service Retail</t>
        </is>
      </c>
    </row>
    <row r="72">
      <c r="A72" t="inlineStr">
        <is>
          <t>TRX-0071</t>
        </is>
      </c>
      <c r="B72" t="n">
        <v>46102</v>
      </c>
      <c r="C72" t="inlineStr">
        <is>
          <t>CG-001</t>
        </is>
      </c>
      <c r="D72" t="inlineStr">
        <is>
          <t>Gabriel Samra Coral Gables</t>
        </is>
      </c>
      <c r="E72" t="inlineStr">
        <is>
          <t>Truss</t>
        </is>
      </c>
      <c r="F72" t="inlineStr">
        <is>
          <t>TRU-CND-002</t>
        </is>
      </c>
      <c r="G72" t="inlineStr">
        <is>
          <t>Infusion Conditioner</t>
        </is>
      </c>
      <c r="H72" t="inlineStr">
        <is>
          <t>Hair Care</t>
        </is>
      </c>
      <c r="I72" t="inlineStr">
        <is>
          <t>Melia</t>
        </is>
      </c>
      <c r="J72" t="n">
        <v>1</v>
      </c>
      <c r="K72" t="n">
        <v>15.25</v>
      </c>
      <c r="L72" t="n">
        <v>34</v>
      </c>
      <c r="M72" t="n">
        <v>0.1</v>
      </c>
      <c r="N72">
        <f>J72*L72*(1-M72)</f>
        <v/>
      </c>
      <c r="O72">
        <f>J72*K72</f>
        <v/>
      </c>
      <c r="P72">
        <f>N72-O72</f>
        <v/>
      </c>
      <c r="Q72">
        <f>IF(N72=0,0,P72/N72)</f>
        <v/>
      </c>
      <c r="R72" t="inlineStr">
        <is>
          <t>Gift Card</t>
        </is>
      </c>
      <c r="S72" t="inlineStr">
        <is>
          <t>Walk-in Client</t>
        </is>
      </c>
    </row>
    <row r="73">
      <c r="A73" t="inlineStr">
        <is>
          <t>TRX-0072</t>
        </is>
      </c>
      <c r="B73" t="n">
        <v>46049</v>
      </c>
      <c r="C73" t="inlineStr">
        <is>
          <t>CG-001</t>
        </is>
      </c>
      <c r="D73" t="inlineStr">
        <is>
          <t>Gabriel Samra Coral Gables</t>
        </is>
      </c>
      <c r="E73" t="inlineStr">
        <is>
          <t>Truss</t>
        </is>
      </c>
      <c r="F73" t="inlineStr">
        <is>
          <t>TRU-CND-002</t>
        </is>
      </c>
      <c r="G73" t="inlineStr">
        <is>
          <t>Infusion Conditioner</t>
        </is>
      </c>
      <c r="H73" t="inlineStr">
        <is>
          <t>Hair Care</t>
        </is>
      </c>
      <c r="I73" t="inlineStr">
        <is>
          <t>Magaly</t>
        </is>
      </c>
      <c r="J73" t="n">
        <v>1</v>
      </c>
      <c r="K73" t="n">
        <v>15.25</v>
      </c>
      <c r="L73" t="n">
        <v>34</v>
      </c>
      <c r="M73" t="n">
        <v>0</v>
      </c>
      <c r="N73">
        <f>J73*L73*(1-M73)</f>
        <v/>
      </c>
      <c r="O73">
        <f>J73*K73</f>
        <v/>
      </c>
      <c r="P73">
        <f>N73-O73</f>
        <v/>
      </c>
      <c r="Q73">
        <f>IF(N73=0,0,P73/N73)</f>
        <v/>
      </c>
      <c r="R73" t="inlineStr">
        <is>
          <t>Card</t>
        </is>
      </c>
      <c r="S73" t="inlineStr">
        <is>
          <t>Post-Service Retail</t>
        </is>
      </c>
    </row>
    <row r="74">
      <c r="A74" t="inlineStr">
        <is>
          <t>TRX-0073</t>
        </is>
      </c>
      <c r="B74" t="n">
        <v>46117</v>
      </c>
      <c r="C74" t="inlineStr">
        <is>
          <t>DR-001</t>
        </is>
      </c>
      <c r="D74" t="inlineStr">
        <is>
          <t>Gabriel Samra Doral</t>
        </is>
      </c>
      <c r="E74" t="inlineStr">
        <is>
          <t>Sutra</t>
        </is>
      </c>
      <c r="F74" t="inlineStr">
        <is>
          <t>SUT-DRY-004</t>
        </is>
      </c>
      <c r="G74" t="inlineStr">
        <is>
          <t>Professional Hair Dryer</t>
        </is>
      </c>
      <c r="H74" t="inlineStr">
        <is>
          <t>Hot Tools</t>
        </is>
      </c>
      <c r="I74" t="inlineStr">
        <is>
          <t>Melia</t>
        </is>
      </c>
      <c r="J74" t="n">
        <v>1</v>
      </c>
      <c r="K74" t="n">
        <v>62</v>
      </c>
      <c r="L74" t="n">
        <v>149</v>
      </c>
      <c r="M74" t="n">
        <v>0</v>
      </c>
      <c r="N74">
        <f>J74*L74*(1-M74)</f>
        <v/>
      </c>
      <c r="O74">
        <f>J74*K74</f>
        <v/>
      </c>
      <c r="P74">
        <f>N74-O74</f>
        <v/>
      </c>
      <c r="Q74">
        <f>IF(N74=0,0,P74/N74)</f>
        <v/>
      </c>
      <c r="R74" t="inlineStr">
        <is>
          <t>Gift Card</t>
        </is>
      </c>
      <c r="S74" t="inlineStr">
        <is>
          <t>Stylist Recommendation</t>
        </is>
      </c>
    </row>
    <row r="75">
      <c r="A75" t="inlineStr">
        <is>
          <t>TRX-0074</t>
        </is>
      </c>
      <c r="B75" t="n">
        <v>46115</v>
      </c>
      <c r="C75" t="inlineStr">
        <is>
          <t>DR-001</t>
        </is>
      </c>
      <c r="D75" t="inlineStr">
        <is>
          <t>Gabriel Samra Doral</t>
        </is>
      </c>
      <c r="E75" t="inlineStr">
        <is>
          <t>Truss</t>
        </is>
      </c>
      <c r="F75" t="inlineStr">
        <is>
          <t>TRU-CND-002</t>
        </is>
      </c>
      <c r="G75" t="inlineStr">
        <is>
          <t>Infusion Conditioner</t>
        </is>
      </c>
      <c r="H75" t="inlineStr">
        <is>
          <t>Hair Care</t>
        </is>
      </c>
      <c r="I75" t="inlineStr">
        <is>
          <t>Isaac</t>
        </is>
      </c>
      <c r="J75" t="n">
        <v>1</v>
      </c>
      <c r="K75" t="n">
        <v>15.25</v>
      </c>
      <c r="L75" t="n">
        <v>34</v>
      </c>
      <c r="M75" t="n">
        <v>0.05</v>
      </c>
      <c r="N75">
        <f>J75*L75*(1-M75)</f>
        <v/>
      </c>
      <c r="O75">
        <f>J75*K75</f>
        <v/>
      </c>
      <c r="P75">
        <f>N75-O75</f>
        <v/>
      </c>
      <c r="Q75">
        <f>IF(N75=0,0,P75/N75)</f>
        <v/>
      </c>
      <c r="R75" t="inlineStr">
        <is>
          <t>Gift Card</t>
        </is>
      </c>
      <c r="S75" t="inlineStr">
        <is>
          <t>Walk-in Client</t>
        </is>
      </c>
    </row>
    <row r="76">
      <c r="A76" t="inlineStr">
        <is>
          <t>TRX-0075</t>
        </is>
      </c>
      <c r="B76" t="n">
        <v>46160</v>
      </c>
      <c r="C76" t="inlineStr">
        <is>
          <t>DR-001</t>
        </is>
      </c>
      <c r="D76" t="inlineStr">
        <is>
          <t>Gabriel Samra Doral</t>
        </is>
      </c>
      <c r="E76" t="inlineStr">
        <is>
          <t>Sutra</t>
        </is>
      </c>
      <c r="F76" t="inlineStr">
        <is>
          <t>SUT-DRY-004</t>
        </is>
      </c>
      <c r="G76" t="inlineStr">
        <is>
          <t>Professional Hair Dryer</t>
        </is>
      </c>
      <c r="H76" t="inlineStr">
        <is>
          <t>Hot Tools</t>
        </is>
      </c>
      <c r="I76" t="inlineStr">
        <is>
          <t>Isaac</t>
        </is>
      </c>
      <c r="J76" t="n">
        <v>2</v>
      </c>
      <c r="K76" t="n">
        <v>62</v>
      </c>
      <c r="L76" t="n">
        <v>149</v>
      </c>
      <c r="M76" t="n">
        <v>0</v>
      </c>
      <c r="N76">
        <f>J76*L76*(1-M76)</f>
        <v/>
      </c>
      <c r="O76">
        <f>J76*K76</f>
        <v/>
      </c>
      <c r="P76">
        <f>N76-O76</f>
        <v/>
      </c>
      <c r="Q76">
        <f>IF(N76=0,0,P76/N76)</f>
        <v/>
      </c>
      <c r="R76" t="inlineStr">
        <is>
          <t>Apple Pay</t>
        </is>
      </c>
      <c r="S76" t="inlineStr">
        <is>
          <t>Walk-in Client</t>
        </is>
      </c>
    </row>
    <row r="77">
      <c r="A77" t="inlineStr">
        <is>
          <t>TRX-0076</t>
        </is>
      </c>
      <c r="B77" t="n">
        <v>46138</v>
      </c>
      <c r="C77" t="inlineStr">
        <is>
          <t>DR-001</t>
        </is>
      </c>
      <c r="D77" t="inlineStr">
        <is>
          <t>Gabriel Samra Doral</t>
        </is>
      </c>
      <c r="E77" t="inlineStr">
        <is>
          <t>Truss</t>
        </is>
      </c>
      <c r="F77" t="inlineStr">
        <is>
          <t>TRU-CND-002</t>
        </is>
      </c>
      <c r="G77" t="inlineStr">
        <is>
          <t>Infusion Conditioner</t>
        </is>
      </c>
      <c r="H77" t="inlineStr">
        <is>
          <t>Hair Care</t>
        </is>
      </c>
      <c r="I77" t="inlineStr">
        <is>
          <t>Melia</t>
        </is>
      </c>
      <c r="J77" t="n">
        <v>1</v>
      </c>
      <c r="K77" t="n">
        <v>15.25</v>
      </c>
      <c r="L77" t="n">
        <v>34</v>
      </c>
      <c r="M77" t="n">
        <v>0</v>
      </c>
      <c r="N77">
        <f>J77*L77*(1-M77)</f>
        <v/>
      </c>
      <c r="O77">
        <f>J77*K77</f>
        <v/>
      </c>
      <c r="P77">
        <f>N77-O77</f>
        <v/>
      </c>
      <c r="Q77">
        <f>IF(N77=0,0,P77/N77)</f>
        <v/>
      </c>
      <c r="R77" t="inlineStr">
        <is>
          <t>Apple Pay</t>
        </is>
      </c>
      <c r="S77" t="inlineStr">
        <is>
          <t>Existing Client</t>
        </is>
      </c>
    </row>
    <row r="78">
      <c r="A78" t="inlineStr">
        <is>
          <t>TRX-0077</t>
        </is>
      </c>
      <c r="B78" t="n">
        <v>46069</v>
      </c>
      <c r="C78" t="inlineStr">
        <is>
          <t>DR-001</t>
        </is>
      </c>
      <c r="D78" t="inlineStr">
        <is>
          <t>Gabriel Samra Doral</t>
        </is>
      </c>
      <c r="E78" t="inlineStr">
        <is>
          <t>Sutra</t>
        </is>
      </c>
      <c r="F78" t="inlineStr">
        <is>
          <t>SUT-BLO-003</t>
        </is>
      </c>
      <c r="G78" t="inlineStr">
        <is>
          <t>Blowout Brush</t>
        </is>
      </c>
      <c r="H78" t="inlineStr">
        <is>
          <t>Hot Tools</t>
        </is>
      </c>
      <c r="I78" t="inlineStr">
        <is>
          <t>Isaac</t>
        </is>
      </c>
      <c r="J78" t="n">
        <v>1</v>
      </c>
      <c r="K78" t="n">
        <v>48</v>
      </c>
      <c r="L78" t="n">
        <v>119</v>
      </c>
      <c r="M78" t="n">
        <v>0</v>
      </c>
      <c r="N78">
        <f>J78*L78*(1-M78)</f>
        <v/>
      </c>
      <c r="O78">
        <f>J78*K78</f>
        <v/>
      </c>
      <c r="P78">
        <f>N78-O78</f>
        <v/>
      </c>
      <c r="Q78">
        <f>IF(N78=0,0,P78/N78)</f>
        <v/>
      </c>
      <c r="R78" t="inlineStr">
        <is>
          <t>Apple Pay</t>
        </is>
      </c>
      <c r="S78" t="inlineStr">
        <is>
          <t>Post-Service Retail</t>
        </is>
      </c>
    </row>
    <row r="79">
      <c r="A79" t="inlineStr">
        <is>
          <t>TRX-0078</t>
        </is>
      </c>
      <c r="B79" t="n">
        <v>46025</v>
      </c>
      <c r="C79" t="inlineStr">
        <is>
          <t>DR-001</t>
        </is>
      </c>
      <c r="D79" t="inlineStr">
        <is>
          <t>Gabriel Samra Doral</t>
        </is>
      </c>
      <c r="E79" t="inlineStr">
        <is>
          <t>Sutra</t>
        </is>
      </c>
      <c r="F79" t="inlineStr">
        <is>
          <t>SUT-HSP-005</t>
        </is>
      </c>
      <c r="G79" t="inlineStr">
        <is>
          <t>Heat Spray</t>
        </is>
      </c>
      <c r="H79" t="inlineStr">
        <is>
          <t>Styling</t>
        </is>
      </c>
      <c r="I79" t="inlineStr">
        <is>
          <t>Isaac</t>
        </is>
      </c>
      <c r="J79" t="n">
        <v>1</v>
      </c>
      <c r="K79" t="n">
        <v>9.5</v>
      </c>
      <c r="L79" t="n">
        <v>24</v>
      </c>
      <c r="M79" t="n">
        <v>0</v>
      </c>
      <c r="N79">
        <f>J79*L79*(1-M79)</f>
        <v/>
      </c>
      <c r="O79">
        <f>J79*K79</f>
        <v/>
      </c>
      <c r="P79">
        <f>N79-O79</f>
        <v/>
      </c>
      <c r="Q79">
        <f>IF(N79=0,0,P79/N79)</f>
        <v/>
      </c>
      <c r="R79" t="inlineStr">
        <is>
          <t>Gift Card</t>
        </is>
      </c>
      <c r="S79" t="inlineStr">
        <is>
          <t>Stylist Recommendation</t>
        </is>
      </c>
    </row>
    <row r="80">
      <c r="A80" t="inlineStr">
        <is>
          <t>TRX-0079</t>
        </is>
      </c>
      <c r="B80" t="n">
        <v>46144</v>
      </c>
      <c r="C80" t="inlineStr">
        <is>
          <t>CG-001</t>
        </is>
      </c>
      <c r="D80" t="inlineStr">
        <is>
          <t>Gabriel Samra Coral Gables</t>
        </is>
      </c>
      <c r="E80" t="inlineStr">
        <is>
          <t>Sutra</t>
        </is>
      </c>
      <c r="F80" t="inlineStr">
        <is>
          <t>SUT-DRY-004</t>
        </is>
      </c>
      <c r="G80" t="inlineStr">
        <is>
          <t>Professional Hair Dryer</t>
        </is>
      </c>
      <c r="H80" t="inlineStr">
        <is>
          <t>Hot Tools</t>
        </is>
      </c>
      <c r="I80" t="inlineStr">
        <is>
          <t>Melia</t>
        </is>
      </c>
      <c r="J80" t="n">
        <v>1</v>
      </c>
      <c r="K80" t="n">
        <v>62</v>
      </c>
      <c r="L80" t="n">
        <v>149</v>
      </c>
      <c r="M80" t="n">
        <v>0</v>
      </c>
      <c r="N80">
        <f>J80*L80*(1-M80)</f>
        <v/>
      </c>
      <c r="O80">
        <f>J80*K80</f>
        <v/>
      </c>
      <c r="P80">
        <f>N80-O80</f>
        <v/>
      </c>
      <c r="Q80">
        <f>IF(N80=0,0,P80/N80)</f>
        <v/>
      </c>
      <c r="R80" t="inlineStr">
        <is>
          <t>Card</t>
        </is>
      </c>
      <c r="S80" t="inlineStr">
        <is>
          <t>Post-Service Retail</t>
        </is>
      </c>
    </row>
    <row r="81">
      <c r="A81" t="inlineStr">
        <is>
          <t>TRX-0080</t>
        </is>
      </c>
      <c r="B81" t="n">
        <v>46085</v>
      </c>
      <c r="C81" t="inlineStr">
        <is>
          <t>DR-001</t>
        </is>
      </c>
      <c r="D81" t="inlineStr">
        <is>
          <t>Gabriel Samra Doral</t>
        </is>
      </c>
      <c r="E81" t="inlineStr">
        <is>
          <t>Truss</t>
        </is>
      </c>
      <c r="F81" t="inlineStr">
        <is>
          <t>TRU-OIL-004</t>
        </is>
      </c>
      <c r="G81" t="inlineStr">
        <is>
          <t>Deluxe Prime Oil</t>
        </is>
      </c>
      <c r="H81" t="inlineStr">
        <is>
          <t>Finishing</t>
        </is>
      </c>
      <c r="I81" t="inlineStr">
        <is>
          <t>Magaly</t>
        </is>
      </c>
      <c r="J81" t="n">
        <v>1</v>
      </c>
      <c r="K81" t="n">
        <v>18</v>
      </c>
      <c r="L81" t="n">
        <v>42</v>
      </c>
      <c r="M81" t="n">
        <v>0</v>
      </c>
      <c r="N81">
        <f>J81*L81*(1-M81)</f>
        <v/>
      </c>
      <c r="O81">
        <f>J81*K81</f>
        <v/>
      </c>
      <c r="P81">
        <f>N81-O81</f>
        <v/>
      </c>
      <c r="Q81">
        <f>IF(N81=0,0,P81/N81)</f>
        <v/>
      </c>
      <c r="R81" t="inlineStr">
        <is>
          <t>Apple Pay</t>
        </is>
      </c>
      <c r="S81" t="inlineStr">
        <is>
          <t>Stylist Recommendation</t>
        </is>
      </c>
    </row>
    <row r="82">
      <c r="A82" t="inlineStr">
        <is>
          <t>TRX-0081</t>
        </is>
      </c>
      <c r="B82" t="n">
        <v>46113</v>
      </c>
      <c r="C82" t="inlineStr">
        <is>
          <t>DR-001</t>
        </is>
      </c>
      <c r="D82" t="inlineStr">
        <is>
          <t>Gabriel Samra Doral</t>
        </is>
      </c>
      <c r="E82" t="inlineStr">
        <is>
          <t>Sutra</t>
        </is>
      </c>
      <c r="F82" t="inlineStr">
        <is>
          <t>SUT-DRY-004</t>
        </is>
      </c>
      <c r="G82" t="inlineStr">
        <is>
          <t>Professional Hair Dryer</t>
        </is>
      </c>
      <c r="H82" t="inlineStr">
        <is>
          <t>Hot Tools</t>
        </is>
      </c>
      <c r="I82" t="inlineStr">
        <is>
          <t>Isaac</t>
        </is>
      </c>
      <c r="J82" t="n">
        <v>1</v>
      </c>
      <c r="K82" t="n">
        <v>62</v>
      </c>
      <c r="L82" t="n">
        <v>149</v>
      </c>
      <c r="M82" t="n">
        <v>0</v>
      </c>
      <c r="N82">
        <f>J82*L82*(1-M82)</f>
        <v/>
      </c>
      <c r="O82">
        <f>J82*K82</f>
        <v/>
      </c>
      <c r="P82">
        <f>N82-O82</f>
        <v/>
      </c>
      <c r="Q82">
        <f>IF(N82=0,0,P82/N82)</f>
        <v/>
      </c>
      <c r="R82" t="inlineStr">
        <is>
          <t>Cash</t>
        </is>
      </c>
      <c r="S82" t="inlineStr">
        <is>
          <t>Existing Client</t>
        </is>
      </c>
    </row>
    <row r="83">
      <c r="A83" t="inlineStr">
        <is>
          <t>TRX-0082</t>
        </is>
      </c>
      <c r="B83" t="n">
        <v>46053</v>
      </c>
      <c r="C83" t="inlineStr">
        <is>
          <t>DR-001</t>
        </is>
      </c>
      <c r="D83" t="inlineStr">
        <is>
          <t>Gabriel Samra Doral</t>
        </is>
      </c>
      <c r="E83" t="inlineStr">
        <is>
          <t>Truss</t>
        </is>
      </c>
      <c r="F83" t="inlineStr">
        <is>
          <t>TRU-OIL-004</t>
        </is>
      </c>
      <c r="G83" t="inlineStr">
        <is>
          <t>Deluxe Prime Oil</t>
        </is>
      </c>
      <c r="H83" t="inlineStr">
        <is>
          <t>Finishing</t>
        </is>
      </c>
      <c r="I83" t="inlineStr">
        <is>
          <t>Isaac</t>
        </is>
      </c>
      <c r="J83" t="n">
        <v>1</v>
      </c>
      <c r="K83" t="n">
        <v>18</v>
      </c>
      <c r="L83" t="n">
        <v>42</v>
      </c>
      <c r="M83" t="n">
        <v>0.1</v>
      </c>
      <c r="N83">
        <f>J83*L83*(1-M83)</f>
        <v/>
      </c>
      <c r="O83">
        <f>J83*K83</f>
        <v/>
      </c>
      <c r="P83">
        <f>N83-O83</f>
        <v/>
      </c>
      <c r="Q83">
        <f>IF(N83=0,0,P83/N83)</f>
        <v/>
      </c>
      <c r="R83" t="inlineStr">
        <is>
          <t>Cash</t>
        </is>
      </c>
      <c r="S83" t="inlineStr">
        <is>
          <t>Walk-in Client</t>
        </is>
      </c>
    </row>
    <row r="84">
      <c r="A84" t="inlineStr">
        <is>
          <t>TRX-0083</t>
        </is>
      </c>
      <c r="B84" t="n">
        <v>46157</v>
      </c>
      <c r="C84" t="inlineStr">
        <is>
          <t>DR-001</t>
        </is>
      </c>
      <c r="D84" t="inlineStr">
        <is>
          <t>Gabriel Samra Doral</t>
        </is>
      </c>
      <c r="E84" t="inlineStr">
        <is>
          <t>Sutra</t>
        </is>
      </c>
      <c r="F84" t="inlineStr">
        <is>
          <t>SUT-BLO-003</t>
        </is>
      </c>
      <c r="G84" t="inlineStr">
        <is>
          <t>Blowout Brush</t>
        </is>
      </c>
      <c r="H84" t="inlineStr">
        <is>
          <t>Hot Tools</t>
        </is>
      </c>
      <c r="I84" t="inlineStr">
        <is>
          <t>Isaac</t>
        </is>
      </c>
      <c r="J84" t="n">
        <v>1</v>
      </c>
      <c r="K84" t="n">
        <v>48</v>
      </c>
      <c r="L84" t="n">
        <v>119</v>
      </c>
      <c r="M84" t="n">
        <v>0.15</v>
      </c>
      <c r="N84">
        <f>J84*L84*(1-M84)</f>
        <v/>
      </c>
      <c r="O84">
        <f>J84*K84</f>
        <v/>
      </c>
      <c r="P84">
        <f>N84-O84</f>
        <v/>
      </c>
      <c r="Q84">
        <f>IF(N84=0,0,P84/N84)</f>
        <v/>
      </c>
      <c r="R84" t="inlineStr">
        <is>
          <t>Apple Pay</t>
        </is>
      </c>
      <c r="S84" t="inlineStr">
        <is>
          <t>Walk-in Client</t>
        </is>
      </c>
    </row>
    <row r="85">
      <c r="A85" t="inlineStr">
        <is>
          <t>TRX-0084</t>
        </is>
      </c>
      <c r="B85" t="n">
        <v>46100</v>
      </c>
      <c r="C85" t="inlineStr">
        <is>
          <t>CG-001</t>
        </is>
      </c>
      <c r="D85" t="inlineStr">
        <is>
          <t>Gabriel Samra Coral Gables</t>
        </is>
      </c>
      <c r="E85" t="inlineStr">
        <is>
          <t>Sutra</t>
        </is>
      </c>
      <c r="F85" t="inlineStr">
        <is>
          <t>SUT-FIR-001</t>
        </is>
      </c>
      <c r="G85" t="inlineStr">
        <is>
          <t>Mini Flat Iron</t>
        </is>
      </c>
      <c r="H85" t="inlineStr">
        <is>
          <t>Hot Tools</t>
        </is>
      </c>
      <c r="I85" t="inlineStr">
        <is>
          <t>Isaac</t>
        </is>
      </c>
      <c r="J85" t="n">
        <v>1</v>
      </c>
      <c r="K85" t="n">
        <v>38</v>
      </c>
      <c r="L85" t="n">
        <v>89</v>
      </c>
      <c r="M85" t="n">
        <v>0</v>
      </c>
      <c r="N85">
        <f>J85*L85*(1-M85)</f>
        <v/>
      </c>
      <c r="O85">
        <f>J85*K85</f>
        <v/>
      </c>
      <c r="P85">
        <f>N85-O85</f>
        <v/>
      </c>
      <c r="Q85">
        <f>IF(N85=0,0,P85/N85)</f>
        <v/>
      </c>
      <c r="R85" t="inlineStr">
        <is>
          <t>Card</t>
        </is>
      </c>
      <c r="S85" t="inlineStr">
        <is>
          <t>Existing Client</t>
        </is>
      </c>
    </row>
    <row r="86">
      <c r="A86" t="inlineStr">
        <is>
          <t>TRX-0085</t>
        </is>
      </c>
      <c r="B86" t="n">
        <v>46055</v>
      </c>
      <c r="C86" t="inlineStr">
        <is>
          <t>DR-001</t>
        </is>
      </c>
      <c r="D86" t="inlineStr">
        <is>
          <t>Gabriel Samra Doral</t>
        </is>
      </c>
      <c r="E86" t="inlineStr">
        <is>
          <t>Sutra</t>
        </is>
      </c>
      <c r="F86" t="inlineStr">
        <is>
          <t>SUT-DRY-004</t>
        </is>
      </c>
      <c r="G86" t="inlineStr">
        <is>
          <t>Professional Hair Dryer</t>
        </is>
      </c>
      <c r="H86" t="inlineStr">
        <is>
          <t>Hot Tools</t>
        </is>
      </c>
      <c r="I86" t="inlineStr">
        <is>
          <t>Magaly</t>
        </is>
      </c>
      <c r="J86" t="n">
        <v>1</v>
      </c>
      <c r="K86" t="n">
        <v>62</v>
      </c>
      <c r="L86" t="n">
        <v>149</v>
      </c>
      <c r="M86" t="n">
        <v>0.05</v>
      </c>
      <c r="N86">
        <f>J86*L86*(1-M86)</f>
        <v/>
      </c>
      <c r="O86">
        <f>J86*K86</f>
        <v/>
      </c>
      <c r="P86">
        <f>N86-O86</f>
        <v/>
      </c>
      <c r="Q86">
        <f>IF(N86=0,0,P86/N86)</f>
        <v/>
      </c>
      <c r="R86" t="inlineStr">
        <is>
          <t>Card</t>
        </is>
      </c>
      <c r="S86" t="inlineStr">
        <is>
          <t>Post-Service Retail</t>
        </is>
      </c>
    </row>
    <row r="87">
      <c r="A87" t="inlineStr">
        <is>
          <t>TRX-0086</t>
        </is>
      </c>
      <c r="B87" t="n">
        <v>46135</v>
      </c>
      <c r="C87" t="inlineStr">
        <is>
          <t>DR-001</t>
        </is>
      </c>
      <c r="D87" t="inlineStr">
        <is>
          <t>Gabriel Samra Doral</t>
        </is>
      </c>
      <c r="E87" t="inlineStr">
        <is>
          <t>Sutra</t>
        </is>
      </c>
      <c r="F87" t="inlineStr">
        <is>
          <t>SUT-BLO-003</t>
        </is>
      </c>
      <c r="G87" t="inlineStr">
        <is>
          <t>Blowout Brush</t>
        </is>
      </c>
      <c r="H87" t="inlineStr">
        <is>
          <t>Hot Tools</t>
        </is>
      </c>
      <c r="I87" t="inlineStr">
        <is>
          <t>Isaac</t>
        </is>
      </c>
      <c r="J87" t="n">
        <v>1</v>
      </c>
      <c r="K87" t="n">
        <v>48</v>
      </c>
      <c r="L87" t="n">
        <v>119</v>
      </c>
      <c r="M87" t="n">
        <v>0.1</v>
      </c>
      <c r="N87">
        <f>J87*L87*(1-M87)</f>
        <v/>
      </c>
      <c r="O87">
        <f>J87*K87</f>
        <v/>
      </c>
      <c r="P87">
        <f>N87-O87</f>
        <v/>
      </c>
      <c r="Q87">
        <f>IF(N87=0,0,P87/N87)</f>
        <v/>
      </c>
      <c r="R87" t="inlineStr">
        <is>
          <t>Gift Card</t>
        </is>
      </c>
      <c r="S87" t="inlineStr">
        <is>
          <t>Existing Client</t>
        </is>
      </c>
    </row>
    <row r="88">
      <c r="A88" t="inlineStr">
        <is>
          <t>TRX-0087</t>
        </is>
      </c>
      <c r="B88" t="n">
        <v>46148</v>
      </c>
      <c r="C88" t="inlineStr">
        <is>
          <t>DR-001</t>
        </is>
      </c>
      <c r="D88" t="inlineStr">
        <is>
          <t>Gabriel Samra Doral</t>
        </is>
      </c>
      <c r="E88" t="inlineStr">
        <is>
          <t>Truss</t>
        </is>
      </c>
      <c r="F88" t="inlineStr">
        <is>
          <t>TRU-CND-002</t>
        </is>
      </c>
      <c r="G88" t="inlineStr">
        <is>
          <t>Infusion Conditioner</t>
        </is>
      </c>
      <c r="H88" t="inlineStr">
        <is>
          <t>Hair Care</t>
        </is>
      </c>
      <c r="I88" t="inlineStr">
        <is>
          <t>Melia</t>
        </is>
      </c>
      <c r="J88" t="n">
        <v>1</v>
      </c>
      <c r="K88" t="n">
        <v>15.25</v>
      </c>
      <c r="L88" t="n">
        <v>34</v>
      </c>
      <c r="M88" t="n">
        <v>0</v>
      </c>
      <c r="N88">
        <f>J88*L88*(1-M88)</f>
        <v/>
      </c>
      <c r="O88">
        <f>J88*K88</f>
        <v/>
      </c>
      <c r="P88">
        <f>N88-O88</f>
        <v/>
      </c>
      <c r="Q88">
        <f>IF(N88=0,0,P88/N88)</f>
        <v/>
      </c>
      <c r="R88" t="inlineStr">
        <is>
          <t>Cash</t>
        </is>
      </c>
      <c r="S88" t="inlineStr">
        <is>
          <t>Walk-in Client</t>
        </is>
      </c>
    </row>
    <row r="89">
      <c r="A89" t="inlineStr">
        <is>
          <t>TRX-0088</t>
        </is>
      </c>
      <c r="B89" t="n">
        <v>46044</v>
      </c>
      <c r="C89" t="inlineStr">
        <is>
          <t>DR-001</t>
        </is>
      </c>
      <c r="D89" t="inlineStr">
        <is>
          <t>Gabriel Samra Doral</t>
        </is>
      </c>
      <c r="E89" t="inlineStr">
        <is>
          <t>Sutra</t>
        </is>
      </c>
      <c r="F89" t="inlineStr">
        <is>
          <t>SUT-HSP-005</t>
        </is>
      </c>
      <c r="G89" t="inlineStr">
        <is>
          <t>Heat Spray</t>
        </is>
      </c>
      <c r="H89" t="inlineStr">
        <is>
          <t>Styling</t>
        </is>
      </c>
      <c r="I89" t="inlineStr">
        <is>
          <t>Melia</t>
        </is>
      </c>
      <c r="J89" t="n">
        <v>3</v>
      </c>
      <c r="K89" t="n">
        <v>9.5</v>
      </c>
      <c r="L89" t="n">
        <v>24</v>
      </c>
      <c r="M89" t="n">
        <v>0</v>
      </c>
      <c r="N89">
        <f>J89*L89*(1-M89)</f>
        <v/>
      </c>
      <c r="O89">
        <f>J89*K89</f>
        <v/>
      </c>
      <c r="P89">
        <f>N89-O89</f>
        <v/>
      </c>
      <c r="Q89">
        <f>IF(N89=0,0,P89/N89)</f>
        <v/>
      </c>
      <c r="R89" t="inlineStr">
        <is>
          <t>Cash</t>
        </is>
      </c>
      <c r="S89" t="inlineStr">
        <is>
          <t>Stylist Recommendation</t>
        </is>
      </c>
    </row>
    <row r="90">
      <c r="A90" t="inlineStr">
        <is>
          <t>TRX-0089</t>
        </is>
      </c>
      <c r="B90" t="n">
        <v>46099</v>
      </c>
      <c r="C90" t="inlineStr">
        <is>
          <t>DR-001</t>
        </is>
      </c>
      <c r="D90" t="inlineStr">
        <is>
          <t>Gabriel Samra Doral</t>
        </is>
      </c>
      <c r="E90" t="inlineStr">
        <is>
          <t>Sutra</t>
        </is>
      </c>
      <c r="F90" t="inlineStr">
        <is>
          <t>SUT-BLO-003</t>
        </is>
      </c>
      <c r="G90" t="inlineStr">
        <is>
          <t>Blowout Brush</t>
        </is>
      </c>
      <c r="H90" t="inlineStr">
        <is>
          <t>Hot Tools</t>
        </is>
      </c>
      <c r="I90" t="inlineStr">
        <is>
          <t>Isaac</t>
        </is>
      </c>
      <c r="J90" t="n">
        <v>2</v>
      </c>
      <c r="K90" t="n">
        <v>48</v>
      </c>
      <c r="L90" t="n">
        <v>119</v>
      </c>
      <c r="M90" t="n">
        <v>0.15</v>
      </c>
      <c r="N90">
        <f>J90*L90*(1-M90)</f>
        <v/>
      </c>
      <c r="O90">
        <f>J90*K90</f>
        <v/>
      </c>
      <c r="P90">
        <f>N90-O90</f>
        <v/>
      </c>
      <c r="Q90">
        <f>IF(N90=0,0,P90/N90)</f>
        <v/>
      </c>
      <c r="R90" t="inlineStr">
        <is>
          <t>Card</t>
        </is>
      </c>
      <c r="S90" t="inlineStr">
        <is>
          <t>Existing Client</t>
        </is>
      </c>
    </row>
    <row r="91">
      <c r="A91" t="inlineStr">
        <is>
          <t>TRX-0090</t>
        </is>
      </c>
      <c r="B91" t="n">
        <v>46090</v>
      </c>
      <c r="C91" t="inlineStr">
        <is>
          <t>CG-001</t>
        </is>
      </c>
      <c r="D91" t="inlineStr">
        <is>
          <t>Gabriel Samra Coral Gables</t>
        </is>
      </c>
      <c r="E91" t="inlineStr">
        <is>
          <t>Truss</t>
        </is>
      </c>
      <c r="F91" t="inlineStr">
        <is>
          <t>TRU-OIL-004</t>
        </is>
      </c>
      <c r="G91" t="inlineStr">
        <is>
          <t>Deluxe Prime Oil</t>
        </is>
      </c>
      <c r="H91" t="inlineStr">
        <is>
          <t>Finishing</t>
        </is>
      </c>
      <c r="I91" t="inlineStr">
        <is>
          <t>Isaac</t>
        </is>
      </c>
      <c r="J91" t="n">
        <v>1</v>
      </c>
      <c r="K91" t="n">
        <v>18</v>
      </c>
      <c r="L91" t="n">
        <v>42</v>
      </c>
      <c r="M91" t="n">
        <v>0</v>
      </c>
      <c r="N91">
        <f>J91*L91*(1-M91)</f>
        <v/>
      </c>
      <c r="O91">
        <f>J91*K91</f>
        <v/>
      </c>
      <c r="P91">
        <f>N91-O91</f>
        <v/>
      </c>
      <c r="Q91">
        <f>IF(N91=0,0,P91/N91)</f>
        <v/>
      </c>
      <c r="R91" t="inlineStr">
        <is>
          <t>Card</t>
        </is>
      </c>
      <c r="S91" t="inlineStr">
        <is>
          <t>Walk-in Client</t>
        </is>
      </c>
    </row>
    <row r="92">
      <c r="A92" t="inlineStr">
        <is>
          <t>TRX-0091</t>
        </is>
      </c>
      <c r="B92" t="n">
        <v>46138</v>
      </c>
      <c r="C92" t="inlineStr">
        <is>
          <t>DR-001</t>
        </is>
      </c>
      <c r="D92" t="inlineStr">
        <is>
          <t>Gabriel Samra Doral</t>
        </is>
      </c>
      <c r="E92" t="inlineStr">
        <is>
          <t>Truss</t>
        </is>
      </c>
      <c r="F92" t="inlineStr">
        <is>
          <t>TRU-SHP-001</t>
        </is>
      </c>
      <c r="G92" t="inlineStr">
        <is>
          <t>Infusion Shampoo</t>
        </is>
      </c>
      <c r="H92" t="inlineStr">
        <is>
          <t>Hair Care</t>
        </is>
      </c>
      <c r="I92" t="inlineStr">
        <is>
          <t>Melia</t>
        </is>
      </c>
      <c r="J92" t="n">
        <v>1</v>
      </c>
      <c r="K92" t="n">
        <v>14.5</v>
      </c>
      <c r="L92" t="n">
        <v>32</v>
      </c>
      <c r="M92" t="n">
        <v>0</v>
      </c>
      <c r="N92">
        <f>J92*L92*(1-M92)</f>
        <v/>
      </c>
      <c r="O92">
        <f>J92*K92</f>
        <v/>
      </c>
      <c r="P92">
        <f>N92-O92</f>
        <v/>
      </c>
      <c r="Q92">
        <f>IF(N92=0,0,P92/N92)</f>
        <v/>
      </c>
      <c r="R92" t="inlineStr">
        <is>
          <t>Cash</t>
        </is>
      </c>
      <c r="S92" t="inlineStr">
        <is>
          <t>Post-Service Retail</t>
        </is>
      </c>
    </row>
    <row r="93">
      <c r="A93" t="inlineStr">
        <is>
          <t>TRX-0092</t>
        </is>
      </c>
      <c r="B93" t="n">
        <v>46041</v>
      </c>
      <c r="C93" t="inlineStr">
        <is>
          <t>DR-001</t>
        </is>
      </c>
      <c r="D93" t="inlineStr">
        <is>
          <t>Gabriel Samra Doral</t>
        </is>
      </c>
      <c r="E93" t="inlineStr">
        <is>
          <t>Truss</t>
        </is>
      </c>
      <c r="F93" t="inlineStr">
        <is>
          <t>TRU-SER-005</t>
        </is>
      </c>
      <c r="G93" t="inlineStr">
        <is>
          <t>Night Spa Serum</t>
        </is>
      </c>
      <c r="H93" t="inlineStr">
        <is>
          <t>Treatment</t>
        </is>
      </c>
      <c r="I93" t="inlineStr">
        <is>
          <t>Isaac</t>
        </is>
      </c>
      <c r="J93" t="n">
        <v>1</v>
      </c>
      <c r="K93" t="n">
        <v>19.75</v>
      </c>
      <c r="L93" t="n">
        <v>48</v>
      </c>
      <c r="M93" t="n">
        <v>0.1</v>
      </c>
      <c r="N93">
        <f>J93*L93*(1-M93)</f>
        <v/>
      </c>
      <c r="O93">
        <f>J93*K93</f>
        <v/>
      </c>
      <c r="P93">
        <f>N93-O93</f>
        <v/>
      </c>
      <c r="Q93">
        <f>IF(N93=0,0,P93/N93)</f>
        <v/>
      </c>
      <c r="R93" t="inlineStr">
        <is>
          <t>Gift Card</t>
        </is>
      </c>
      <c r="S93" t="inlineStr">
        <is>
          <t>Existing Client</t>
        </is>
      </c>
    </row>
    <row r="94">
      <c r="A94" t="inlineStr">
        <is>
          <t>TRX-0093</t>
        </is>
      </c>
      <c r="B94" t="n">
        <v>46061</v>
      </c>
      <c r="C94" t="inlineStr">
        <is>
          <t>CG-001</t>
        </is>
      </c>
      <c r="D94" t="inlineStr">
        <is>
          <t>Gabriel Samra Coral Gables</t>
        </is>
      </c>
      <c r="E94" t="inlineStr">
        <is>
          <t>Sutra</t>
        </is>
      </c>
      <c r="F94" t="inlineStr">
        <is>
          <t>SUT-DRY-004</t>
        </is>
      </c>
      <c r="G94" t="inlineStr">
        <is>
          <t>Professional Hair Dryer</t>
        </is>
      </c>
      <c r="H94" t="inlineStr">
        <is>
          <t>Hot Tools</t>
        </is>
      </c>
      <c r="I94" t="inlineStr">
        <is>
          <t>Magaly</t>
        </is>
      </c>
      <c r="J94" t="n">
        <v>2</v>
      </c>
      <c r="K94" t="n">
        <v>62</v>
      </c>
      <c r="L94" t="n">
        <v>149</v>
      </c>
      <c r="M94" t="n">
        <v>0.05</v>
      </c>
      <c r="N94">
        <f>J94*L94*(1-M94)</f>
        <v/>
      </c>
      <c r="O94">
        <f>J94*K94</f>
        <v/>
      </c>
      <c r="P94">
        <f>N94-O94</f>
        <v/>
      </c>
      <c r="Q94">
        <f>IF(N94=0,0,P94/N94)</f>
        <v/>
      </c>
      <c r="R94" t="inlineStr">
        <is>
          <t>Card</t>
        </is>
      </c>
      <c r="S94" t="inlineStr">
        <is>
          <t>Walk-in Client</t>
        </is>
      </c>
    </row>
    <row r="95">
      <c r="A95" t="inlineStr">
        <is>
          <t>TRX-0094</t>
        </is>
      </c>
      <c r="B95" t="n">
        <v>46135</v>
      </c>
      <c r="C95" t="inlineStr">
        <is>
          <t>DR-001</t>
        </is>
      </c>
      <c r="D95" t="inlineStr">
        <is>
          <t>Gabriel Samra Doral</t>
        </is>
      </c>
      <c r="E95" t="inlineStr">
        <is>
          <t>Truss</t>
        </is>
      </c>
      <c r="F95" t="inlineStr">
        <is>
          <t>TRU-SER-005</t>
        </is>
      </c>
      <c r="G95" t="inlineStr">
        <is>
          <t>Night Spa Serum</t>
        </is>
      </c>
      <c r="H95" t="inlineStr">
        <is>
          <t>Treatment</t>
        </is>
      </c>
      <c r="I95" t="inlineStr">
        <is>
          <t>Melia</t>
        </is>
      </c>
      <c r="J95" t="n">
        <v>1</v>
      </c>
      <c r="K95" t="n">
        <v>19.75</v>
      </c>
      <c r="L95" t="n">
        <v>48</v>
      </c>
      <c r="M95" t="n">
        <v>0.05</v>
      </c>
      <c r="N95">
        <f>J95*L95*(1-M95)</f>
        <v/>
      </c>
      <c r="O95">
        <f>J95*K95</f>
        <v/>
      </c>
      <c r="P95">
        <f>N95-O95</f>
        <v/>
      </c>
      <c r="Q95">
        <f>IF(N95=0,0,P95/N95)</f>
        <v/>
      </c>
      <c r="R95" t="inlineStr">
        <is>
          <t>Apple Pay</t>
        </is>
      </c>
      <c r="S95" t="inlineStr">
        <is>
          <t>Stylist Recommendation</t>
        </is>
      </c>
    </row>
    <row r="96">
      <c r="A96" t="inlineStr">
        <is>
          <t>TRX-0095</t>
        </is>
      </c>
      <c r="B96" t="n">
        <v>46033</v>
      </c>
      <c r="C96" t="inlineStr">
        <is>
          <t>CG-001</t>
        </is>
      </c>
      <c r="D96" t="inlineStr">
        <is>
          <t>Gabriel Samra Coral Gables</t>
        </is>
      </c>
      <c r="E96" t="inlineStr">
        <is>
          <t>Sutra</t>
        </is>
      </c>
      <c r="F96" t="inlineStr">
        <is>
          <t>SUT-BLO-003</t>
        </is>
      </c>
      <c r="G96" t="inlineStr">
        <is>
          <t>Blowout Brush</t>
        </is>
      </c>
      <c r="H96" t="inlineStr">
        <is>
          <t>Hot Tools</t>
        </is>
      </c>
      <c r="I96" t="inlineStr">
        <is>
          <t>Isaac</t>
        </is>
      </c>
      <c r="J96" t="n">
        <v>2</v>
      </c>
      <c r="K96" t="n">
        <v>48</v>
      </c>
      <c r="L96" t="n">
        <v>119</v>
      </c>
      <c r="M96" t="n">
        <v>0.05</v>
      </c>
      <c r="N96">
        <f>J96*L96*(1-M96)</f>
        <v/>
      </c>
      <c r="O96">
        <f>J96*K96</f>
        <v/>
      </c>
      <c r="P96">
        <f>N96-O96</f>
        <v/>
      </c>
      <c r="Q96">
        <f>IF(N96=0,0,P96/N96)</f>
        <v/>
      </c>
      <c r="R96" t="inlineStr">
        <is>
          <t>Card</t>
        </is>
      </c>
      <c r="S96" t="inlineStr">
        <is>
          <t>Existing Client</t>
        </is>
      </c>
    </row>
    <row r="97">
      <c r="A97" t="inlineStr">
        <is>
          <t>TRX-0096</t>
        </is>
      </c>
      <c r="B97" t="n">
        <v>46091</v>
      </c>
      <c r="C97" t="inlineStr">
        <is>
          <t>CG-001</t>
        </is>
      </c>
      <c r="D97" t="inlineStr">
        <is>
          <t>Gabriel Samra Coral Gables</t>
        </is>
      </c>
      <c r="E97" t="inlineStr">
        <is>
          <t>Truss</t>
        </is>
      </c>
      <c r="F97" t="inlineStr">
        <is>
          <t>TRU-OIL-004</t>
        </is>
      </c>
      <c r="G97" t="inlineStr">
        <is>
          <t>Deluxe Prime Oil</t>
        </is>
      </c>
      <c r="H97" t="inlineStr">
        <is>
          <t>Finishing</t>
        </is>
      </c>
      <c r="I97" t="inlineStr">
        <is>
          <t>Isaac</t>
        </is>
      </c>
      <c r="J97" t="n">
        <v>1</v>
      </c>
      <c r="K97" t="n">
        <v>18</v>
      </c>
      <c r="L97" t="n">
        <v>42</v>
      </c>
      <c r="M97" t="n">
        <v>0.05</v>
      </c>
      <c r="N97">
        <f>J97*L97*(1-M97)</f>
        <v/>
      </c>
      <c r="O97">
        <f>J97*K97</f>
        <v/>
      </c>
      <c r="P97">
        <f>N97-O97</f>
        <v/>
      </c>
      <c r="Q97">
        <f>IF(N97=0,0,P97/N97)</f>
        <v/>
      </c>
      <c r="R97" t="inlineStr">
        <is>
          <t>Gift Card</t>
        </is>
      </c>
      <c r="S97" t="inlineStr">
        <is>
          <t>Stylist Recommendation</t>
        </is>
      </c>
    </row>
    <row r="98">
      <c r="A98" t="inlineStr">
        <is>
          <t>TRX-0097</t>
        </is>
      </c>
      <c r="B98" t="n">
        <v>46134</v>
      </c>
      <c r="C98" t="inlineStr">
        <is>
          <t>CG-001</t>
        </is>
      </c>
      <c r="D98" t="inlineStr">
        <is>
          <t>Gabriel Samra Coral Gables</t>
        </is>
      </c>
      <c r="E98" t="inlineStr">
        <is>
          <t>Truss</t>
        </is>
      </c>
      <c r="F98" t="inlineStr">
        <is>
          <t>TRU-SER-005</t>
        </is>
      </c>
      <c r="G98" t="inlineStr">
        <is>
          <t>Night Spa Serum</t>
        </is>
      </c>
      <c r="H98" t="inlineStr">
        <is>
          <t>Treatment</t>
        </is>
      </c>
      <c r="I98" t="inlineStr">
        <is>
          <t>Magaly</t>
        </is>
      </c>
      <c r="J98" t="n">
        <v>1</v>
      </c>
      <c r="K98" t="n">
        <v>19.75</v>
      </c>
      <c r="L98" t="n">
        <v>48</v>
      </c>
      <c r="M98" t="n">
        <v>0</v>
      </c>
      <c r="N98">
        <f>J98*L98*(1-M98)</f>
        <v/>
      </c>
      <c r="O98">
        <f>J98*K98</f>
        <v/>
      </c>
      <c r="P98">
        <f>N98-O98</f>
        <v/>
      </c>
      <c r="Q98">
        <f>IF(N98=0,0,P98/N98)</f>
        <v/>
      </c>
      <c r="R98" t="inlineStr">
        <is>
          <t>Gift Card</t>
        </is>
      </c>
      <c r="S98" t="inlineStr">
        <is>
          <t>Post-Service Retail</t>
        </is>
      </c>
    </row>
    <row r="99">
      <c r="A99" t="inlineStr">
        <is>
          <t>TRX-0098</t>
        </is>
      </c>
      <c r="B99" t="n">
        <v>46105</v>
      </c>
      <c r="C99" t="inlineStr">
        <is>
          <t>DR-001</t>
        </is>
      </c>
      <c r="D99" t="inlineStr">
        <is>
          <t>Gabriel Samra Doral</t>
        </is>
      </c>
      <c r="E99" t="inlineStr">
        <is>
          <t>Sutra</t>
        </is>
      </c>
      <c r="F99" t="inlineStr">
        <is>
          <t>SUT-CUR-002</t>
        </is>
      </c>
      <c r="G99" t="inlineStr">
        <is>
          <t>Clipless Curling Iron</t>
        </is>
      </c>
      <c r="H99" t="inlineStr">
        <is>
          <t>Hot Tools</t>
        </is>
      </c>
      <c r="I99" t="inlineStr">
        <is>
          <t>Melia</t>
        </is>
      </c>
      <c r="J99" t="n">
        <v>1</v>
      </c>
      <c r="K99" t="n">
        <v>42</v>
      </c>
      <c r="L99" t="n">
        <v>99</v>
      </c>
      <c r="M99" t="n">
        <v>0.1</v>
      </c>
      <c r="N99">
        <f>J99*L99*(1-M99)</f>
        <v/>
      </c>
      <c r="O99">
        <f>J99*K99</f>
        <v/>
      </c>
      <c r="P99">
        <f>N99-O99</f>
        <v/>
      </c>
      <c r="Q99">
        <f>IF(N99=0,0,P99/N99)</f>
        <v/>
      </c>
      <c r="R99" t="inlineStr">
        <is>
          <t>Gift Card</t>
        </is>
      </c>
      <c r="S99" t="inlineStr">
        <is>
          <t>Stylist Recommendation</t>
        </is>
      </c>
    </row>
    <row r="100">
      <c r="A100" t="inlineStr">
        <is>
          <t>TRX-0099</t>
        </is>
      </c>
      <c r="B100" t="n">
        <v>46032</v>
      </c>
      <c r="C100" t="inlineStr">
        <is>
          <t>DR-001</t>
        </is>
      </c>
      <c r="D100" t="inlineStr">
        <is>
          <t>Gabriel Samra Doral</t>
        </is>
      </c>
      <c r="E100" t="inlineStr">
        <is>
          <t>Truss</t>
        </is>
      </c>
      <c r="F100" t="inlineStr">
        <is>
          <t>TRU-SER-005</t>
        </is>
      </c>
      <c r="G100" t="inlineStr">
        <is>
          <t>Night Spa Serum</t>
        </is>
      </c>
      <c r="H100" t="inlineStr">
        <is>
          <t>Treatment</t>
        </is>
      </c>
      <c r="I100" t="inlineStr">
        <is>
          <t>Melia</t>
        </is>
      </c>
      <c r="J100" t="n">
        <v>1</v>
      </c>
      <c r="K100" t="n">
        <v>19.75</v>
      </c>
      <c r="L100" t="n">
        <v>48</v>
      </c>
      <c r="M100" t="n">
        <v>0</v>
      </c>
      <c r="N100">
        <f>J100*L100*(1-M100)</f>
        <v/>
      </c>
      <c r="O100">
        <f>J100*K100</f>
        <v/>
      </c>
      <c r="P100">
        <f>N100-O100</f>
        <v/>
      </c>
      <c r="Q100">
        <f>IF(N100=0,0,P100/N100)</f>
        <v/>
      </c>
      <c r="R100" t="inlineStr">
        <is>
          <t>Card</t>
        </is>
      </c>
      <c r="S100" t="inlineStr">
        <is>
          <t>Stylist Recommendation</t>
        </is>
      </c>
    </row>
    <row r="101">
      <c r="A101" t="inlineStr">
        <is>
          <t>TRX-0100</t>
        </is>
      </c>
      <c r="B101" t="n">
        <v>46161</v>
      </c>
      <c r="C101" t="inlineStr">
        <is>
          <t>CG-001</t>
        </is>
      </c>
      <c r="D101" t="inlineStr">
        <is>
          <t>Gabriel Samra Coral Gables</t>
        </is>
      </c>
      <c r="E101" t="inlineStr">
        <is>
          <t>Sutra</t>
        </is>
      </c>
      <c r="F101" t="inlineStr">
        <is>
          <t>SUT-DRY-004</t>
        </is>
      </c>
      <c r="G101" t="inlineStr">
        <is>
          <t>Professional Hair Dryer</t>
        </is>
      </c>
      <c r="H101" t="inlineStr">
        <is>
          <t>Hot Tools</t>
        </is>
      </c>
      <c r="I101" t="inlineStr">
        <is>
          <t>Melia</t>
        </is>
      </c>
      <c r="J101" t="n">
        <v>1</v>
      </c>
      <c r="K101" t="n">
        <v>62</v>
      </c>
      <c r="L101" t="n">
        <v>149</v>
      </c>
      <c r="M101" t="n">
        <v>0</v>
      </c>
      <c r="N101">
        <f>J101*L101*(1-M101)</f>
        <v/>
      </c>
      <c r="O101">
        <f>J101*K101</f>
        <v/>
      </c>
      <c r="P101">
        <f>N101-O101</f>
        <v/>
      </c>
      <c r="Q101">
        <f>IF(N101=0,0,P101/N101)</f>
        <v/>
      </c>
      <c r="R101" t="inlineStr">
        <is>
          <t>Gift Card</t>
        </is>
      </c>
      <c r="S101" t="inlineStr">
        <is>
          <t>Stylist Recommendation</t>
        </is>
      </c>
    </row>
    <row r="102">
      <c r="A102" t="inlineStr">
        <is>
          <t>TRX-0101</t>
        </is>
      </c>
      <c r="B102" t="n">
        <v>46091</v>
      </c>
      <c r="C102" t="inlineStr">
        <is>
          <t>CG-001</t>
        </is>
      </c>
      <c r="D102" t="inlineStr">
        <is>
          <t>Gabriel Samra Coral Gables</t>
        </is>
      </c>
      <c r="E102" t="inlineStr">
        <is>
          <t>Truss</t>
        </is>
      </c>
      <c r="F102" t="inlineStr">
        <is>
          <t>TRU-SHP-001</t>
        </is>
      </c>
      <c r="G102" t="inlineStr">
        <is>
          <t>Infusion Shampoo</t>
        </is>
      </c>
      <c r="H102" t="inlineStr">
        <is>
          <t>Hair Care</t>
        </is>
      </c>
      <c r="I102" t="inlineStr">
        <is>
          <t>Magaly</t>
        </is>
      </c>
      <c r="J102" t="n">
        <v>1</v>
      </c>
      <c r="K102" t="n">
        <v>14.5</v>
      </c>
      <c r="L102" t="n">
        <v>32</v>
      </c>
      <c r="M102" t="n">
        <v>0.1</v>
      </c>
      <c r="N102">
        <f>J102*L102*(1-M102)</f>
        <v/>
      </c>
      <c r="O102">
        <f>J102*K102</f>
        <v/>
      </c>
      <c r="P102">
        <f>N102-O102</f>
        <v/>
      </c>
      <c r="Q102">
        <f>IF(N102=0,0,P102/N102)</f>
        <v/>
      </c>
      <c r="R102" t="inlineStr">
        <is>
          <t>Gift Card</t>
        </is>
      </c>
      <c r="S102" t="inlineStr">
        <is>
          <t>Existing Client</t>
        </is>
      </c>
    </row>
    <row r="103">
      <c r="A103" t="inlineStr">
        <is>
          <t>TRX-0102</t>
        </is>
      </c>
      <c r="B103" t="n">
        <v>46063</v>
      </c>
      <c r="C103" t="inlineStr">
        <is>
          <t>CG-001</t>
        </is>
      </c>
      <c r="D103" t="inlineStr">
        <is>
          <t>Gabriel Samra Coral Gables</t>
        </is>
      </c>
      <c r="E103" t="inlineStr">
        <is>
          <t>Truss</t>
        </is>
      </c>
      <c r="F103" t="inlineStr">
        <is>
          <t>TRU-SHP-001</t>
        </is>
      </c>
      <c r="G103" t="inlineStr">
        <is>
          <t>Infusion Shampoo</t>
        </is>
      </c>
      <c r="H103" t="inlineStr">
        <is>
          <t>Hair Care</t>
        </is>
      </c>
      <c r="I103" t="inlineStr">
        <is>
          <t>Melia</t>
        </is>
      </c>
      <c r="J103" t="n">
        <v>1</v>
      </c>
      <c r="K103" t="n">
        <v>14.5</v>
      </c>
      <c r="L103" t="n">
        <v>32</v>
      </c>
      <c r="M103" t="n">
        <v>0</v>
      </c>
      <c r="N103">
        <f>J103*L103*(1-M103)</f>
        <v/>
      </c>
      <c r="O103">
        <f>J103*K103</f>
        <v/>
      </c>
      <c r="P103">
        <f>N103-O103</f>
        <v/>
      </c>
      <c r="Q103">
        <f>IF(N103=0,0,P103/N103)</f>
        <v/>
      </c>
      <c r="R103" t="inlineStr">
        <is>
          <t>Card</t>
        </is>
      </c>
      <c r="S103" t="inlineStr">
        <is>
          <t>Walk-in Client</t>
        </is>
      </c>
    </row>
    <row r="104">
      <c r="A104" t="inlineStr">
        <is>
          <t>TRX-0103</t>
        </is>
      </c>
      <c r="B104" t="n">
        <v>46053</v>
      </c>
      <c r="C104" t="inlineStr">
        <is>
          <t>DR-001</t>
        </is>
      </c>
      <c r="D104" t="inlineStr">
        <is>
          <t>Gabriel Samra Doral</t>
        </is>
      </c>
      <c r="E104" t="inlineStr">
        <is>
          <t>Truss</t>
        </is>
      </c>
      <c r="F104" t="inlineStr">
        <is>
          <t>TRU-CND-002</t>
        </is>
      </c>
      <c r="G104" t="inlineStr">
        <is>
          <t>Infusion Conditioner</t>
        </is>
      </c>
      <c r="H104" t="inlineStr">
        <is>
          <t>Hair Care</t>
        </is>
      </c>
      <c r="I104" t="inlineStr">
        <is>
          <t>Isaac</t>
        </is>
      </c>
      <c r="J104" t="n">
        <v>1</v>
      </c>
      <c r="K104" t="n">
        <v>15.25</v>
      </c>
      <c r="L104" t="n">
        <v>34</v>
      </c>
      <c r="M104" t="n">
        <v>0</v>
      </c>
      <c r="N104">
        <f>J104*L104*(1-M104)</f>
        <v/>
      </c>
      <c r="O104">
        <f>J104*K104</f>
        <v/>
      </c>
      <c r="P104">
        <f>N104-O104</f>
        <v/>
      </c>
      <c r="Q104">
        <f>IF(N104=0,0,P104/N104)</f>
        <v/>
      </c>
      <c r="R104" t="inlineStr">
        <is>
          <t>Apple Pay</t>
        </is>
      </c>
      <c r="S104" t="inlineStr">
        <is>
          <t>Stylist Recommendation</t>
        </is>
      </c>
    </row>
    <row r="105">
      <c r="A105" t="inlineStr">
        <is>
          <t>TRX-0104</t>
        </is>
      </c>
      <c r="B105" t="n">
        <v>46085</v>
      </c>
      <c r="C105" t="inlineStr">
        <is>
          <t>DR-001</t>
        </is>
      </c>
      <c r="D105" t="inlineStr">
        <is>
          <t>Gabriel Samra Doral</t>
        </is>
      </c>
      <c r="E105" t="inlineStr">
        <is>
          <t>Sutra</t>
        </is>
      </c>
      <c r="F105" t="inlineStr">
        <is>
          <t>SUT-BLO-003</t>
        </is>
      </c>
      <c r="G105" t="inlineStr">
        <is>
          <t>Blowout Brush</t>
        </is>
      </c>
      <c r="H105" t="inlineStr">
        <is>
          <t>Hot Tools</t>
        </is>
      </c>
      <c r="I105" t="inlineStr">
        <is>
          <t>Isaac</t>
        </is>
      </c>
      <c r="J105" t="n">
        <v>1</v>
      </c>
      <c r="K105" t="n">
        <v>48</v>
      </c>
      <c r="L105" t="n">
        <v>119</v>
      </c>
      <c r="M105" t="n">
        <v>0</v>
      </c>
      <c r="N105">
        <f>J105*L105*(1-M105)</f>
        <v/>
      </c>
      <c r="O105">
        <f>J105*K105</f>
        <v/>
      </c>
      <c r="P105">
        <f>N105-O105</f>
        <v/>
      </c>
      <c r="Q105">
        <f>IF(N105=0,0,P105/N105)</f>
        <v/>
      </c>
      <c r="R105" t="inlineStr">
        <is>
          <t>Cash</t>
        </is>
      </c>
      <c r="S105" t="inlineStr">
        <is>
          <t>Existing Client</t>
        </is>
      </c>
    </row>
    <row r="106">
      <c r="A106" t="inlineStr">
        <is>
          <t>TRX-0105</t>
        </is>
      </c>
      <c r="B106" t="n">
        <v>46110</v>
      </c>
      <c r="C106" t="inlineStr">
        <is>
          <t>DR-001</t>
        </is>
      </c>
      <c r="D106" t="inlineStr">
        <is>
          <t>Gabriel Samra Doral</t>
        </is>
      </c>
      <c r="E106" t="inlineStr">
        <is>
          <t>Truss</t>
        </is>
      </c>
      <c r="F106" t="inlineStr">
        <is>
          <t>TRU-SER-005</t>
        </is>
      </c>
      <c r="G106" t="inlineStr">
        <is>
          <t>Night Spa Serum</t>
        </is>
      </c>
      <c r="H106" t="inlineStr">
        <is>
          <t>Treatment</t>
        </is>
      </c>
      <c r="I106" t="inlineStr">
        <is>
          <t>Melia</t>
        </is>
      </c>
      <c r="J106" t="n">
        <v>2</v>
      </c>
      <c r="K106" t="n">
        <v>19.75</v>
      </c>
      <c r="L106" t="n">
        <v>48</v>
      </c>
      <c r="M106" t="n">
        <v>0</v>
      </c>
      <c r="N106">
        <f>J106*L106*(1-M106)</f>
        <v/>
      </c>
      <c r="O106">
        <f>J106*K106</f>
        <v/>
      </c>
      <c r="P106">
        <f>N106-O106</f>
        <v/>
      </c>
      <c r="Q106">
        <f>IF(N106=0,0,P106/N106)</f>
        <v/>
      </c>
      <c r="R106" t="inlineStr">
        <is>
          <t>Apple Pay</t>
        </is>
      </c>
      <c r="S106" t="inlineStr">
        <is>
          <t>Post-Service Retail</t>
        </is>
      </c>
    </row>
    <row r="107">
      <c r="A107" t="inlineStr">
        <is>
          <t>TRX-0106</t>
        </is>
      </c>
      <c r="B107" t="n">
        <v>46061</v>
      </c>
      <c r="C107" t="inlineStr">
        <is>
          <t>DR-001</t>
        </is>
      </c>
      <c r="D107" t="inlineStr">
        <is>
          <t>Gabriel Samra Doral</t>
        </is>
      </c>
      <c r="E107" t="inlineStr">
        <is>
          <t>Sutra</t>
        </is>
      </c>
      <c r="F107" t="inlineStr">
        <is>
          <t>SUT-HSP-005</t>
        </is>
      </c>
      <c r="G107" t="inlineStr">
        <is>
          <t>Heat Spray</t>
        </is>
      </c>
      <c r="H107" t="inlineStr">
        <is>
          <t>Styling</t>
        </is>
      </c>
      <c r="I107" t="inlineStr">
        <is>
          <t>Melia</t>
        </is>
      </c>
      <c r="J107" t="n">
        <v>1</v>
      </c>
      <c r="K107" t="n">
        <v>9.5</v>
      </c>
      <c r="L107" t="n">
        <v>24</v>
      </c>
      <c r="M107" t="n">
        <v>0</v>
      </c>
      <c r="N107">
        <f>J107*L107*(1-M107)</f>
        <v/>
      </c>
      <c r="O107">
        <f>J107*K107</f>
        <v/>
      </c>
      <c r="P107">
        <f>N107-O107</f>
        <v/>
      </c>
      <c r="Q107">
        <f>IF(N107=0,0,P107/N107)</f>
        <v/>
      </c>
      <c r="R107" t="inlineStr">
        <is>
          <t>Gift Card</t>
        </is>
      </c>
      <c r="S107" t="inlineStr">
        <is>
          <t>Stylist Recommendation</t>
        </is>
      </c>
    </row>
    <row r="108">
      <c r="A108" t="inlineStr">
        <is>
          <t>TRX-0107</t>
        </is>
      </c>
      <c r="B108" t="n">
        <v>46084</v>
      </c>
      <c r="C108" t="inlineStr">
        <is>
          <t>CG-001</t>
        </is>
      </c>
      <c r="D108" t="inlineStr">
        <is>
          <t>Gabriel Samra Coral Gables</t>
        </is>
      </c>
      <c r="E108" t="inlineStr">
        <is>
          <t>Sutra</t>
        </is>
      </c>
      <c r="F108" t="inlineStr">
        <is>
          <t>SUT-FIR-001</t>
        </is>
      </c>
      <c r="G108" t="inlineStr">
        <is>
          <t>Mini Flat Iron</t>
        </is>
      </c>
      <c r="H108" t="inlineStr">
        <is>
          <t>Hot Tools</t>
        </is>
      </c>
      <c r="I108" t="inlineStr">
        <is>
          <t>Melia</t>
        </is>
      </c>
      <c r="J108" t="n">
        <v>1</v>
      </c>
      <c r="K108" t="n">
        <v>38</v>
      </c>
      <c r="L108" t="n">
        <v>89</v>
      </c>
      <c r="M108" t="n">
        <v>0</v>
      </c>
      <c r="N108">
        <f>J108*L108*(1-M108)</f>
        <v/>
      </c>
      <c r="O108">
        <f>J108*K108</f>
        <v/>
      </c>
      <c r="P108">
        <f>N108-O108</f>
        <v/>
      </c>
      <c r="Q108">
        <f>IF(N108=0,0,P108/N108)</f>
        <v/>
      </c>
      <c r="R108" t="inlineStr">
        <is>
          <t>Card</t>
        </is>
      </c>
      <c r="S108" t="inlineStr">
        <is>
          <t>Post-Service Retail</t>
        </is>
      </c>
    </row>
    <row r="109">
      <c r="A109" t="inlineStr">
        <is>
          <t>TRX-0108</t>
        </is>
      </c>
      <c r="B109" t="n">
        <v>46121</v>
      </c>
      <c r="C109" t="inlineStr">
        <is>
          <t>DR-001</t>
        </is>
      </c>
      <c r="D109" t="inlineStr">
        <is>
          <t>Gabriel Samra Doral</t>
        </is>
      </c>
      <c r="E109" t="inlineStr">
        <is>
          <t>Sutra</t>
        </is>
      </c>
      <c r="F109" t="inlineStr">
        <is>
          <t>SUT-BLO-003</t>
        </is>
      </c>
      <c r="G109" t="inlineStr">
        <is>
          <t>Blowout Brush</t>
        </is>
      </c>
      <c r="H109" t="inlineStr">
        <is>
          <t>Hot Tools</t>
        </is>
      </c>
      <c r="I109" t="inlineStr">
        <is>
          <t>Isaac</t>
        </is>
      </c>
      <c r="J109" t="n">
        <v>3</v>
      </c>
      <c r="K109" t="n">
        <v>48</v>
      </c>
      <c r="L109" t="n">
        <v>119</v>
      </c>
      <c r="M109" t="n">
        <v>0.05</v>
      </c>
      <c r="N109">
        <f>J109*L109*(1-M109)</f>
        <v/>
      </c>
      <c r="O109">
        <f>J109*K109</f>
        <v/>
      </c>
      <c r="P109">
        <f>N109-O109</f>
        <v/>
      </c>
      <c r="Q109">
        <f>IF(N109=0,0,P109/N109)</f>
        <v/>
      </c>
      <c r="R109" t="inlineStr">
        <is>
          <t>Gift Card</t>
        </is>
      </c>
      <c r="S109" t="inlineStr">
        <is>
          <t>Existing Client</t>
        </is>
      </c>
    </row>
    <row r="110">
      <c r="A110" t="inlineStr">
        <is>
          <t>TRX-0109</t>
        </is>
      </c>
      <c r="B110" t="n">
        <v>46048</v>
      </c>
      <c r="C110" t="inlineStr">
        <is>
          <t>DR-001</t>
        </is>
      </c>
      <c r="D110" t="inlineStr">
        <is>
          <t>Gabriel Samra Doral</t>
        </is>
      </c>
      <c r="E110" t="inlineStr">
        <is>
          <t>Truss</t>
        </is>
      </c>
      <c r="F110" t="inlineStr">
        <is>
          <t>TRU-MSK-003</t>
        </is>
      </c>
      <c r="G110" t="inlineStr">
        <is>
          <t>Net Mask</t>
        </is>
      </c>
      <c r="H110" t="inlineStr">
        <is>
          <t>Treatment</t>
        </is>
      </c>
      <c r="I110" t="inlineStr">
        <is>
          <t>Magaly</t>
        </is>
      </c>
      <c r="J110" t="n">
        <v>2</v>
      </c>
      <c r="K110" t="n">
        <v>20</v>
      </c>
      <c r="L110" t="n">
        <v>45</v>
      </c>
      <c r="M110" t="n">
        <v>0</v>
      </c>
      <c r="N110">
        <f>J110*L110*(1-M110)</f>
        <v/>
      </c>
      <c r="O110">
        <f>J110*K110</f>
        <v/>
      </c>
      <c r="P110">
        <f>N110-O110</f>
        <v/>
      </c>
      <c r="Q110">
        <f>IF(N110=0,0,P110/N110)</f>
        <v/>
      </c>
      <c r="R110" t="inlineStr">
        <is>
          <t>Card</t>
        </is>
      </c>
      <c r="S110" t="inlineStr">
        <is>
          <t>Walk-in Client</t>
        </is>
      </c>
    </row>
    <row r="111">
      <c r="A111" t="inlineStr">
        <is>
          <t>TRX-0110</t>
        </is>
      </c>
      <c r="B111" t="n">
        <v>46042</v>
      </c>
      <c r="C111" t="inlineStr">
        <is>
          <t>CG-001</t>
        </is>
      </c>
      <c r="D111" t="inlineStr">
        <is>
          <t>Gabriel Samra Coral Gables</t>
        </is>
      </c>
      <c r="E111" t="inlineStr">
        <is>
          <t>Sutra</t>
        </is>
      </c>
      <c r="F111" t="inlineStr">
        <is>
          <t>SUT-CUR-002</t>
        </is>
      </c>
      <c r="G111" t="inlineStr">
        <is>
          <t>Clipless Curling Iron</t>
        </is>
      </c>
      <c r="H111" t="inlineStr">
        <is>
          <t>Hot Tools</t>
        </is>
      </c>
      <c r="I111" t="inlineStr">
        <is>
          <t>Melia</t>
        </is>
      </c>
      <c r="J111" t="n">
        <v>1</v>
      </c>
      <c r="K111" t="n">
        <v>42</v>
      </c>
      <c r="L111" t="n">
        <v>99</v>
      </c>
      <c r="M111" t="n">
        <v>0.1</v>
      </c>
      <c r="N111">
        <f>J111*L111*(1-M111)</f>
        <v/>
      </c>
      <c r="O111">
        <f>J111*K111</f>
        <v/>
      </c>
      <c r="P111">
        <f>N111-O111</f>
        <v/>
      </c>
      <c r="Q111">
        <f>IF(N111=0,0,P111/N111)</f>
        <v/>
      </c>
      <c r="R111" t="inlineStr">
        <is>
          <t>Gift Card</t>
        </is>
      </c>
      <c r="S111" t="inlineStr">
        <is>
          <t>Existing Client</t>
        </is>
      </c>
    </row>
    <row r="112">
      <c r="A112" t="inlineStr">
        <is>
          <t>TRX-0111</t>
        </is>
      </c>
      <c r="B112" t="n">
        <v>46104</v>
      </c>
      <c r="C112" t="inlineStr">
        <is>
          <t>DR-001</t>
        </is>
      </c>
      <c r="D112" t="inlineStr">
        <is>
          <t>Gabriel Samra Doral</t>
        </is>
      </c>
      <c r="E112" t="inlineStr">
        <is>
          <t>Sutra</t>
        </is>
      </c>
      <c r="F112" t="inlineStr">
        <is>
          <t>SUT-FIR-001</t>
        </is>
      </c>
      <c r="G112" t="inlineStr">
        <is>
          <t>Mini Flat Iron</t>
        </is>
      </c>
      <c r="H112" t="inlineStr">
        <is>
          <t>Hot Tools</t>
        </is>
      </c>
      <c r="I112" t="inlineStr">
        <is>
          <t>Magaly</t>
        </is>
      </c>
      <c r="J112" t="n">
        <v>1</v>
      </c>
      <c r="K112" t="n">
        <v>38</v>
      </c>
      <c r="L112" t="n">
        <v>89</v>
      </c>
      <c r="M112" t="n">
        <v>0.1</v>
      </c>
      <c r="N112">
        <f>J112*L112*(1-M112)</f>
        <v/>
      </c>
      <c r="O112">
        <f>J112*K112</f>
        <v/>
      </c>
      <c r="P112">
        <f>N112-O112</f>
        <v/>
      </c>
      <c r="Q112">
        <f>IF(N112=0,0,P112/N112)</f>
        <v/>
      </c>
      <c r="R112" t="inlineStr">
        <is>
          <t>Card</t>
        </is>
      </c>
      <c r="S112" t="inlineStr">
        <is>
          <t>Existing Client</t>
        </is>
      </c>
    </row>
    <row r="113">
      <c r="A113" t="inlineStr">
        <is>
          <t>TRX-0112</t>
        </is>
      </c>
      <c r="B113" t="n">
        <v>46081</v>
      </c>
      <c r="C113" t="inlineStr">
        <is>
          <t>DR-001</t>
        </is>
      </c>
      <c r="D113" t="inlineStr">
        <is>
          <t>Gabriel Samra Doral</t>
        </is>
      </c>
      <c r="E113" t="inlineStr">
        <is>
          <t>Truss</t>
        </is>
      </c>
      <c r="F113" t="inlineStr">
        <is>
          <t>TRU-OIL-004</t>
        </is>
      </c>
      <c r="G113" t="inlineStr">
        <is>
          <t>Deluxe Prime Oil</t>
        </is>
      </c>
      <c r="H113" t="inlineStr">
        <is>
          <t>Finishing</t>
        </is>
      </c>
      <c r="I113" t="inlineStr">
        <is>
          <t>Magaly</t>
        </is>
      </c>
      <c r="J113" t="n">
        <v>1</v>
      </c>
      <c r="K113" t="n">
        <v>18</v>
      </c>
      <c r="L113" t="n">
        <v>42</v>
      </c>
      <c r="M113" t="n">
        <v>0</v>
      </c>
      <c r="N113">
        <f>J113*L113*(1-M113)</f>
        <v/>
      </c>
      <c r="O113">
        <f>J113*K113</f>
        <v/>
      </c>
      <c r="P113">
        <f>N113-O113</f>
        <v/>
      </c>
      <c r="Q113">
        <f>IF(N113=0,0,P113/N113)</f>
        <v/>
      </c>
      <c r="R113" t="inlineStr">
        <is>
          <t>Card</t>
        </is>
      </c>
      <c r="S113" t="inlineStr">
        <is>
          <t>Stylist Recommendation</t>
        </is>
      </c>
    </row>
    <row r="114">
      <c r="A114" t="inlineStr">
        <is>
          <t>TRX-0113</t>
        </is>
      </c>
      <c r="B114" t="n">
        <v>46030</v>
      </c>
      <c r="C114" t="inlineStr">
        <is>
          <t>DR-001</t>
        </is>
      </c>
      <c r="D114" t="inlineStr">
        <is>
          <t>Gabriel Samra Doral</t>
        </is>
      </c>
      <c r="E114" t="inlineStr">
        <is>
          <t>Truss</t>
        </is>
      </c>
      <c r="F114" t="inlineStr">
        <is>
          <t>TRU-MSK-003</t>
        </is>
      </c>
      <c r="G114" t="inlineStr">
        <is>
          <t>Net Mask</t>
        </is>
      </c>
      <c r="H114" t="inlineStr">
        <is>
          <t>Treatment</t>
        </is>
      </c>
      <c r="I114" t="inlineStr">
        <is>
          <t>Isaac</t>
        </is>
      </c>
      <c r="J114" t="n">
        <v>1</v>
      </c>
      <c r="K114" t="n">
        <v>20</v>
      </c>
      <c r="L114" t="n">
        <v>45</v>
      </c>
      <c r="M114" t="n">
        <v>0.05</v>
      </c>
      <c r="N114">
        <f>J114*L114*(1-M114)</f>
        <v/>
      </c>
      <c r="O114">
        <f>J114*K114</f>
        <v/>
      </c>
      <c r="P114">
        <f>N114-O114</f>
        <v/>
      </c>
      <c r="Q114">
        <f>IF(N114=0,0,P114/N114)</f>
        <v/>
      </c>
      <c r="R114" t="inlineStr">
        <is>
          <t>Apple Pay</t>
        </is>
      </c>
      <c r="S114" t="inlineStr">
        <is>
          <t>Post-Service Retail</t>
        </is>
      </c>
    </row>
    <row r="115">
      <c r="A115" t="inlineStr">
        <is>
          <t>TRX-0114</t>
        </is>
      </c>
      <c r="B115" t="n">
        <v>46085</v>
      </c>
      <c r="C115" t="inlineStr">
        <is>
          <t>CG-001</t>
        </is>
      </c>
      <c r="D115" t="inlineStr">
        <is>
          <t>Gabriel Samra Coral Gables</t>
        </is>
      </c>
      <c r="E115" t="inlineStr">
        <is>
          <t>Sutra</t>
        </is>
      </c>
      <c r="F115" t="inlineStr">
        <is>
          <t>SUT-CUR-002</t>
        </is>
      </c>
      <c r="G115" t="inlineStr">
        <is>
          <t>Clipless Curling Iron</t>
        </is>
      </c>
      <c r="H115" t="inlineStr">
        <is>
          <t>Hot Tools</t>
        </is>
      </c>
      <c r="I115" t="inlineStr">
        <is>
          <t>Isaac</t>
        </is>
      </c>
      <c r="J115" t="n">
        <v>1</v>
      </c>
      <c r="K115" t="n">
        <v>42</v>
      </c>
      <c r="L115" t="n">
        <v>99</v>
      </c>
      <c r="M115" t="n">
        <v>0</v>
      </c>
      <c r="N115">
        <f>J115*L115*(1-M115)</f>
        <v/>
      </c>
      <c r="O115">
        <f>J115*K115</f>
        <v/>
      </c>
      <c r="P115">
        <f>N115-O115</f>
        <v/>
      </c>
      <c r="Q115">
        <f>IF(N115=0,0,P115/N115)</f>
        <v/>
      </c>
      <c r="R115" t="inlineStr">
        <is>
          <t>Cash</t>
        </is>
      </c>
      <c r="S115" t="inlineStr">
        <is>
          <t>Walk-in Client</t>
        </is>
      </c>
    </row>
    <row r="116">
      <c r="A116" t="inlineStr">
        <is>
          <t>TRX-0115</t>
        </is>
      </c>
      <c r="B116" t="n">
        <v>46084</v>
      </c>
      <c r="C116" t="inlineStr">
        <is>
          <t>DR-001</t>
        </is>
      </c>
      <c r="D116" t="inlineStr">
        <is>
          <t>Gabriel Samra Doral</t>
        </is>
      </c>
      <c r="E116" t="inlineStr">
        <is>
          <t>Truss</t>
        </is>
      </c>
      <c r="F116" t="inlineStr">
        <is>
          <t>TRU-CND-002</t>
        </is>
      </c>
      <c r="G116" t="inlineStr">
        <is>
          <t>Infusion Conditioner</t>
        </is>
      </c>
      <c r="H116" t="inlineStr">
        <is>
          <t>Hair Care</t>
        </is>
      </c>
      <c r="I116" t="inlineStr">
        <is>
          <t>Isaac</t>
        </is>
      </c>
      <c r="J116" t="n">
        <v>1</v>
      </c>
      <c r="K116" t="n">
        <v>15.25</v>
      </c>
      <c r="L116" t="n">
        <v>34</v>
      </c>
      <c r="M116" t="n">
        <v>0</v>
      </c>
      <c r="N116">
        <f>J116*L116*(1-M116)</f>
        <v/>
      </c>
      <c r="O116">
        <f>J116*K116</f>
        <v/>
      </c>
      <c r="P116">
        <f>N116-O116</f>
        <v/>
      </c>
      <c r="Q116">
        <f>IF(N116=0,0,P116/N116)</f>
        <v/>
      </c>
      <c r="R116" t="inlineStr">
        <is>
          <t>Gift Card</t>
        </is>
      </c>
      <c r="S116" t="inlineStr">
        <is>
          <t>Post-Service Retail</t>
        </is>
      </c>
    </row>
    <row r="117">
      <c r="A117" t="inlineStr">
        <is>
          <t>TRX-0116</t>
        </is>
      </c>
      <c r="B117" t="n">
        <v>46025</v>
      </c>
      <c r="C117" t="inlineStr">
        <is>
          <t>DR-001</t>
        </is>
      </c>
      <c r="D117" t="inlineStr">
        <is>
          <t>Gabriel Samra Doral</t>
        </is>
      </c>
      <c r="E117" t="inlineStr">
        <is>
          <t>Sutra</t>
        </is>
      </c>
      <c r="F117" t="inlineStr">
        <is>
          <t>SUT-BLO-003</t>
        </is>
      </c>
      <c r="G117" t="inlineStr">
        <is>
          <t>Blowout Brush</t>
        </is>
      </c>
      <c r="H117" t="inlineStr">
        <is>
          <t>Hot Tools</t>
        </is>
      </c>
      <c r="I117" t="inlineStr">
        <is>
          <t>Isaac</t>
        </is>
      </c>
      <c r="J117" t="n">
        <v>2</v>
      </c>
      <c r="K117" t="n">
        <v>48</v>
      </c>
      <c r="L117" t="n">
        <v>119</v>
      </c>
      <c r="M117" t="n">
        <v>0</v>
      </c>
      <c r="N117">
        <f>J117*L117*(1-M117)</f>
        <v/>
      </c>
      <c r="O117">
        <f>J117*K117</f>
        <v/>
      </c>
      <c r="P117">
        <f>N117-O117</f>
        <v/>
      </c>
      <c r="Q117">
        <f>IF(N117=0,0,P117/N117)</f>
        <v/>
      </c>
      <c r="R117" t="inlineStr">
        <is>
          <t>Cash</t>
        </is>
      </c>
      <c r="S117" t="inlineStr">
        <is>
          <t>Existing Client</t>
        </is>
      </c>
    </row>
    <row r="118">
      <c r="A118" t="inlineStr">
        <is>
          <t>TRX-0117</t>
        </is>
      </c>
      <c r="B118" t="n">
        <v>46099</v>
      </c>
      <c r="C118" t="inlineStr">
        <is>
          <t>DR-001</t>
        </is>
      </c>
      <c r="D118" t="inlineStr">
        <is>
          <t>Gabriel Samra Doral</t>
        </is>
      </c>
      <c r="E118" t="inlineStr">
        <is>
          <t>Sutra</t>
        </is>
      </c>
      <c r="F118" t="inlineStr">
        <is>
          <t>SUT-BLO-003</t>
        </is>
      </c>
      <c r="G118" t="inlineStr">
        <is>
          <t>Blowout Brush</t>
        </is>
      </c>
      <c r="H118" t="inlineStr">
        <is>
          <t>Hot Tools</t>
        </is>
      </c>
      <c r="I118" t="inlineStr">
        <is>
          <t>Isaac</t>
        </is>
      </c>
      <c r="J118" t="n">
        <v>1</v>
      </c>
      <c r="K118" t="n">
        <v>48</v>
      </c>
      <c r="L118" t="n">
        <v>119</v>
      </c>
      <c r="M118" t="n">
        <v>0</v>
      </c>
      <c r="N118">
        <f>J118*L118*(1-M118)</f>
        <v/>
      </c>
      <c r="O118">
        <f>J118*K118</f>
        <v/>
      </c>
      <c r="P118">
        <f>N118-O118</f>
        <v/>
      </c>
      <c r="Q118">
        <f>IF(N118=0,0,P118/N118)</f>
        <v/>
      </c>
      <c r="R118" t="inlineStr">
        <is>
          <t>Gift Card</t>
        </is>
      </c>
      <c r="S118" t="inlineStr">
        <is>
          <t>Post-Service Retail</t>
        </is>
      </c>
    </row>
    <row r="119">
      <c r="A119" t="inlineStr">
        <is>
          <t>TRX-0118</t>
        </is>
      </c>
      <c r="B119" t="n">
        <v>46146</v>
      </c>
      <c r="C119" t="inlineStr">
        <is>
          <t>DR-001</t>
        </is>
      </c>
      <c r="D119" t="inlineStr">
        <is>
          <t>Gabriel Samra Doral</t>
        </is>
      </c>
      <c r="E119" t="inlineStr">
        <is>
          <t>Truss</t>
        </is>
      </c>
      <c r="F119" t="inlineStr">
        <is>
          <t>TRU-OIL-004</t>
        </is>
      </c>
      <c r="G119" t="inlineStr">
        <is>
          <t>Deluxe Prime Oil</t>
        </is>
      </c>
      <c r="H119" t="inlineStr">
        <is>
          <t>Finishing</t>
        </is>
      </c>
      <c r="I119" t="inlineStr">
        <is>
          <t>Melia</t>
        </is>
      </c>
      <c r="J119" t="n">
        <v>1</v>
      </c>
      <c r="K119" t="n">
        <v>18</v>
      </c>
      <c r="L119" t="n">
        <v>42</v>
      </c>
      <c r="M119" t="n">
        <v>0</v>
      </c>
      <c r="N119">
        <f>J119*L119*(1-M119)</f>
        <v/>
      </c>
      <c r="O119">
        <f>J119*K119</f>
        <v/>
      </c>
      <c r="P119">
        <f>N119-O119</f>
        <v/>
      </c>
      <c r="Q119">
        <f>IF(N119=0,0,P119/N119)</f>
        <v/>
      </c>
      <c r="R119" t="inlineStr">
        <is>
          <t>Apple Pay</t>
        </is>
      </c>
      <c r="S119" t="inlineStr">
        <is>
          <t>Post-Service Retail</t>
        </is>
      </c>
    </row>
    <row r="120">
      <c r="A120" t="inlineStr">
        <is>
          <t>TRX-0119</t>
        </is>
      </c>
      <c r="B120" t="n">
        <v>46093</v>
      </c>
      <c r="C120" t="inlineStr">
        <is>
          <t>DR-001</t>
        </is>
      </c>
      <c r="D120" t="inlineStr">
        <is>
          <t>Gabriel Samra Doral</t>
        </is>
      </c>
      <c r="E120" t="inlineStr">
        <is>
          <t>Truss</t>
        </is>
      </c>
      <c r="F120" t="inlineStr">
        <is>
          <t>TRU-SHP-001</t>
        </is>
      </c>
      <c r="G120" t="inlineStr">
        <is>
          <t>Infusion Shampoo</t>
        </is>
      </c>
      <c r="H120" t="inlineStr">
        <is>
          <t>Hair Care</t>
        </is>
      </c>
      <c r="I120" t="inlineStr">
        <is>
          <t>Melia</t>
        </is>
      </c>
      <c r="J120" t="n">
        <v>1</v>
      </c>
      <c r="K120" t="n">
        <v>14.5</v>
      </c>
      <c r="L120" t="n">
        <v>32</v>
      </c>
      <c r="M120" t="n">
        <v>0.1</v>
      </c>
      <c r="N120">
        <f>J120*L120*(1-M120)</f>
        <v/>
      </c>
      <c r="O120">
        <f>J120*K120</f>
        <v/>
      </c>
      <c r="P120">
        <f>N120-O120</f>
        <v/>
      </c>
      <c r="Q120">
        <f>IF(N120=0,0,P120/N120)</f>
        <v/>
      </c>
      <c r="R120" t="inlineStr">
        <is>
          <t>Gift Card</t>
        </is>
      </c>
      <c r="S120" t="inlineStr">
        <is>
          <t>Post-Service Retail</t>
        </is>
      </c>
    </row>
    <row r="121">
      <c r="A121" t="inlineStr">
        <is>
          <t>TRX-0120</t>
        </is>
      </c>
      <c r="B121" t="n">
        <v>46079</v>
      </c>
      <c r="C121" t="inlineStr">
        <is>
          <t>DR-001</t>
        </is>
      </c>
      <c r="D121" t="inlineStr">
        <is>
          <t>Gabriel Samra Doral</t>
        </is>
      </c>
      <c r="E121" t="inlineStr">
        <is>
          <t>Truss</t>
        </is>
      </c>
      <c r="F121" t="inlineStr">
        <is>
          <t>TRU-OIL-004</t>
        </is>
      </c>
      <c r="G121" t="inlineStr">
        <is>
          <t>Deluxe Prime Oil</t>
        </is>
      </c>
      <c r="H121" t="inlineStr">
        <is>
          <t>Finishing</t>
        </is>
      </c>
      <c r="I121" t="inlineStr">
        <is>
          <t>Isaac</t>
        </is>
      </c>
      <c r="J121" t="n">
        <v>1</v>
      </c>
      <c r="K121" t="n">
        <v>18</v>
      </c>
      <c r="L121" t="n">
        <v>42</v>
      </c>
      <c r="M121" t="n">
        <v>0</v>
      </c>
      <c r="N121">
        <f>J121*L121*(1-M121)</f>
        <v/>
      </c>
      <c r="O121">
        <f>J121*K121</f>
        <v/>
      </c>
      <c r="P121">
        <f>N121-O121</f>
        <v/>
      </c>
      <c r="Q121">
        <f>IF(N121=0,0,P121/N121)</f>
        <v/>
      </c>
      <c r="R121" t="inlineStr">
        <is>
          <t>Card</t>
        </is>
      </c>
      <c r="S121" t="inlineStr">
        <is>
          <t>Existing Client</t>
        </is>
      </c>
    </row>
    <row r="122">
      <c r="A122" t="inlineStr">
        <is>
          <t>TRX-0121</t>
        </is>
      </c>
      <c r="B122" t="n">
        <v>46031</v>
      </c>
      <c r="C122" t="inlineStr">
        <is>
          <t>DR-001</t>
        </is>
      </c>
      <c r="D122" t="inlineStr">
        <is>
          <t>Gabriel Samra Doral</t>
        </is>
      </c>
      <c r="E122" t="inlineStr">
        <is>
          <t>Truss</t>
        </is>
      </c>
      <c r="F122" t="inlineStr">
        <is>
          <t>TRU-SER-005</t>
        </is>
      </c>
      <c r="G122" t="inlineStr">
        <is>
          <t>Night Spa Serum</t>
        </is>
      </c>
      <c r="H122" t="inlineStr">
        <is>
          <t>Treatment</t>
        </is>
      </c>
      <c r="I122" t="inlineStr">
        <is>
          <t>Magaly</t>
        </is>
      </c>
      <c r="J122" t="n">
        <v>1</v>
      </c>
      <c r="K122" t="n">
        <v>19.75</v>
      </c>
      <c r="L122" t="n">
        <v>48</v>
      </c>
      <c r="M122" t="n">
        <v>0.05</v>
      </c>
      <c r="N122">
        <f>J122*L122*(1-M122)</f>
        <v/>
      </c>
      <c r="O122">
        <f>J122*K122</f>
        <v/>
      </c>
      <c r="P122">
        <f>N122-O122</f>
        <v/>
      </c>
      <c r="Q122">
        <f>IF(N122=0,0,P122/N122)</f>
        <v/>
      </c>
      <c r="R122" t="inlineStr">
        <is>
          <t>Apple Pay</t>
        </is>
      </c>
      <c r="S122" t="inlineStr">
        <is>
          <t>Post-Service Retail</t>
        </is>
      </c>
    </row>
    <row r="123">
      <c r="A123" t="inlineStr">
        <is>
          <t>TRX-0122</t>
        </is>
      </c>
      <c r="B123" t="n">
        <v>46074</v>
      </c>
      <c r="C123" t="inlineStr">
        <is>
          <t>CG-001</t>
        </is>
      </c>
      <c r="D123" t="inlineStr">
        <is>
          <t>Gabriel Samra Coral Gables</t>
        </is>
      </c>
      <c r="E123" t="inlineStr">
        <is>
          <t>Sutra</t>
        </is>
      </c>
      <c r="F123" t="inlineStr">
        <is>
          <t>SUT-CUR-002</t>
        </is>
      </c>
      <c r="G123" t="inlineStr">
        <is>
          <t>Clipless Curling Iron</t>
        </is>
      </c>
      <c r="H123" t="inlineStr">
        <is>
          <t>Hot Tools</t>
        </is>
      </c>
      <c r="I123" t="inlineStr">
        <is>
          <t>Melia</t>
        </is>
      </c>
      <c r="J123" t="n">
        <v>1</v>
      </c>
      <c r="K123" t="n">
        <v>42</v>
      </c>
      <c r="L123" t="n">
        <v>99</v>
      </c>
      <c r="M123" t="n">
        <v>0</v>
      </c>
      <c r="N123">
        <f>J123*L123*(1-M123)</f>
        <v/>
      </c>
      <c r="O123">
        <f>J123*K123</f>
        <v/>
      </c>
      <c r="P123">
        <f>N123-O123</f>
        <v/>
      </c>
      <c r="Q123">
        <f>IF(N123=0,0,P123/N123)</f>
        <v/>
      </c>
      <c r="R123" t="inlineStr">
        <is>
          <t>Apple Pay</t>
        </is>
      </c>
      <c r="S123" t="inlineStr">
        <is>
          <t>Walk-in Client</t>
        </is>
      </c>
    </row>
    <row r="124">
      <c r="A124" t="inlineStr">
        <is>
          <t>TRX-0123</t>
        </is>
      </c>
      <c r="B124" t="n">
        <v>46098</v>
      </c>
      <c r="C124" t="inlineStr">
        <is>
          <t>DR-001</t>
        </is>
      </c>
      <c r="D124" t="inlineStr">
        <is>
          <t>Gabriel Samra Doral</t>
        </is>
      </c>
      <c r="E124" t="inlineStr">
        <is>
          <t>Truss</t>
        </is>
      </c>
      <c r="F124" t="inlineStr">
        <is>
          <t>TRU-SER-005</t>
        </is>
      </c>
      <c r="G124" t="inlineStr">
        <is>
          <t>Night Spa Serum</t>
        </is>
      </c>
      <c r="H124" t="inlineStr">
        <is>
          <t>Treatment</t>
        </is>
      </c>
      <c r="I124" t="inlineStr">
        <is>
          <t>Magaly</t>
        </is>
      </c>
      <c r="J124" t="n">
        <v>1</v>
      </c>
      <c r="K124" t="n">
        <v>19.75</v>
      </c>
      <c r="L124" t="n">
        <v>48</v>
      </c>
      <c r="M124" t="n">
        <v>0</v>
      </c>
      <c r="N124">
        <f>J124*L124*(1-M124)</f>
        <v/>
      </c>
      <c r="O124">
        <f>J124*K124</f>
        <v/>
      </c>
      <c r="P124">
        <f>N124-O124</f>
        <v/>
      </c>
      <c r="Q124">
        <f>IF(N124=0,0,P124/N124)</f>
        <v/>
      </c>
      <c r="R124" t="inlineStr">
        <is>
          <t>Gift Card</t>
        </is>
      </c>
      <c r="S124" t="inlineStr">
        <is>
          <t>Existing Client</t>
        </is>
      </c>
    </row>
    <row r="125">
      <c r="A125" t="inlineStr">
        <is>
          <t>TRX-0124</t>
        </is>
      </c>
      <c r="B125" t="n">
        <v>46124</v>
      </c>
      <c r="C125" t="inlineStr">
        <is>
          <t>CG-001</t>
        </is>
      </c>
      <c r="D125" t="inlineStr">
        <is>
          <t>Gabriel Samra Coral Gables</t>
        </is>
      </c>
      <c r="E125" t="inlineStr">
        <is>
          <t>Truss</t>
        </is>
      </c>
      <c r="F125" t="inlineStr">
        <is>
          <t>TRU-MSK-003</t>
        </is>
      </c>
      <c r="G125" t="inlineStr">
        <is>
          <t>Net Mask</t>
        </is>
      </c>
      <c r="H125" t="inlineStr">
        <is>
          <t>Treatment</t>
        </is>
      </c>
      <c r="I125" t="inlineStr">
        <is>
          <t>Melia</t>
        </is>
      </c>
      <c r="J125" t="n">
        <v>3</v>
      </c>
      <c r="K125" t="n">
        <v>20</v>
      </c>
      <c r="L125" t="n">
        <v>45</v>
      </c>
      <c r="M125" t="n">
        <v>0.05</v>
      </c>
      <c r="N125">
        <f>J125*L125*(1-M125)</f>
        <v/>
      </c>
      <c r="O125">
        <f>J125*K125</f>
        <v/>
      </c>
      <c r="P125">
        <f>N125-O125</f>
        <v/>
      </c>
      <c r="Q125">
        <f>IF(N125=0,0,P125/N125)</f>
        <v/>
      </c>
      <c r="R125" t="inlineStr">
        <is>
          <t>Card</t>
        </is>
      </c>
      <c r="S125" t="inlineStr">
        <is>
          <t>Stylist Recommendation</t>
        </is>
      </c>
    </row>
    <row r="126">
      <c r="A126" t="inlineStr">
        <is>
          <t>TRX-0125</t>
        </is>
      </c>
      <c r="B126" t="n">
        <v>46160</v>
      </c>
      <c r="C126" t="inlineStr">
        <is>
          <t>DR-001</t>
        </is>
      </c>
      <c r="D126" t="inlineStr">
        <is>
          <t>Gabriel Samra Doral</t>
        </is>
      </c>
      <c r="E126" t="inlineStr">
        <is>
          <t>Truss</t>
        </is>
      </c>
      <c r="F126" t="inlineStr">
        <is>
          <t>TRU-SHP-001</t>
        </is>
      </c>
      <c r="G126" t="inlineStr">
        <is>
          <t>Infusion Shampoo</t>
        </is>
      </c>
      <c r="H126" t="inlineStr">
        <is>
          <t>Hair Care</t>
        </is>
      </c>
      <c r="I126" t="inlineStr">
        <is>
          <t>Isaac</t>
        </is>
      </c>
      <c r="J126" t="n">
        <v>1</v>
      </c>
      <c r="K126" t="n">
        <v>14.5</v>
      </c>
      <c r="L126" t="n">
        <v>32</v>
      </c>
      <c r="M126" t="n">
        <v>0</v>
      </c>
      <c r="N126">
        <f>J126*L126*(1-M126)</f>
        <v/>
      </c>
      <c r="O126">
        <f>J126*K126</f>
        <v/>
      </c>
      <c r="P126">
        <f>N126-O126</f>
        <v/>
      </c>
      <c r="Q126">
        <f>IF(N126=0,0,P126/N126)</f>
        <v/>
      </c>
      <c r="R126" t="inlineStr">
        <is>
          <t>Gift Card</t>
        </is>
      </c>
      <c r="S126" t="inlineStr">
        <is>
          <t>Post-Service Retail</t>
        </is>
      </c>
    </row>
    <row r="127">
      <c r="A127" t="inlineStr">
        <is>
          <t>TRX-0126</t>
        </is>
      </c>
      <c r="B127" t="n">
        <v>46143</v>
      </c>
      <c r="C127" t="inlineStr">
        <is>
          <t>CG-001</t>
        </is>
      </c>
      <c r="D127" t="inlineStr">
        <is>
          <t>Gabriel Samra Coral Gables</t>
        </is>
      </c>
      <c r="E127" t="inlineStr">
        <is>
          <t>Truss</t>
        </is>
      </c>
      <c r="F127" t="inlineStr">
        <is>
          <t>TRU-CND-002</t>
        </is>
      </c>
      <c r="G127" t="inlineStr">
        <is>
          <t>Infusion Conditioner</t>
        </is>
      </c>
      <c r="H127" t="inlineStr">
        <is>
          <t>Hair Care</t>
        </is>
      </c>
      <c r="I127" t="inlineStr">
        <is>
          <t>Melia</t>
        </is>
      </c>
      <c r="J127" t="n">
        <v>1</v>
      </c>
      <c r="K127" t="n">
        <v>15.25</v>
      </c>
      <c r="L127" t="n">
        <v>34</v>
      </c>
      <c r="M127" t="n">
        <v>0.1</v>
      </c>
      <c r="N127">
        <f>J127*L127*(1-M127)</f>
        <v/>
      </c>
      <c r="O127">
        <f>J127*K127</f>
        <v/>
      </c>
      <c r="P127">
        <f>N127-O127</f>
        <v/>
      </c>
      <c r="Q127">
        <f>IF(N127=0,0,P127/N127)</f>
        <v/>
      </c>
      <c r="R127" t="inlineStr">
        <is>
          <t>Cash</t>
        </is>
      </c>
      <c r="S127" t="inlineStr">
        <is>
          <t>Existing Client</t>
        </is>
      </c>
    </row>
    <row r="128">
      <c r="A128" t="inlineStr">
        <is>
          <t>TRX-0127</t>
        </is>
      </c>
      <c r="B128" t="n">
        <v>46127</v>
      </c>
      <c r="C128" t="inlineStr">
        <is>
          <t>DR-001</t>
        </is>
      </c>
      <c r="D128" t="inlineStr">
        <is>
          <t>Gabriel Samra Doral</t>
        </is>
      </c>
      <c r="E128" t="inlineStr">
        <is>
          <t>Sutra</t>
        </is>
      </c>
      <c r="F128" t="inlineStr">
        <is>
          <t>SUT-BLO-003</t>
        </is>
      </c>
      <c r="G128" t="inlineStr">
        <is>
          <t>Blowout Brush</t>
        </is>
      </c>
      <c r="H128" t="inlineStr">
        <is>
          <t>Hot Tools</t>
        </is>
      </c>
      <c r="I128" t="inlineStr">
        <is>
          <t>Melia</t>
        </is>
      </c>
      <c r="J128" t="n">
        <v>1</v>
      </c>
      <c r="K128" t="n">
        <v>48</v>
      </c>
      <c r="L128" t="n">
        <v>119</v>
      </c>
      <c r="M128" t="n">
        <v>0</v>
      </c>
      <c r="N128">
        <f>J128*L128*(1-M128)</f>
        <v/>
      </c>
      <c r="O128">
        <f>J128*K128</f>
        <v/>
      </c>
      <c r="P128">
        <f>N128-O128</f>
        <v/>
      </c>
      <c r="Q128">
        <f>IF(N128=0,0,P128/N128)</f>
        <v/>
      </c>
      <c r="R128" t="inlineStr">
        <is>
          <t>Apple Pay</t>
        </is>
      </c>
      <c r="S128" t="inlineStr">
        <is>
          <t>Stylist Recommendation</t>
        </is>
      </c>
    </row>
    <row r="129">
      <c r="A129" t="inlineStr">
        <is>
          <t>TRX-0128</t>
        </is>
      </c>
      <c r="B129" t="n">
        <v>46083</v>
      </c>
      <c r="C129" t="inlineStr">
        <is>
          <t>CG-001</t>
        </is>
      </c>
      <c r="D129" t="inlineStr">
        <is>
          <t>Gabriel Samra Coral Gables</t>
        </is>
      </c>
      <c r="E129" t="inlineStr">
        <is>
          <t>Truss</t>
        </is>
      </c>
      <c r="F129" t="inlineStr">
        <is>
          <t>TRU-CND-002</t>
        </is>
      </c>
      <c r="G129" t="inlineStr">
        <is>
          <t>Infusion Conditioner</t>
        </is>
      </c>
      <c r="H129" t="inlineStr">
        <is>
          <t>Hair Care</t>
        </is>
      </c>
      <c r="I129" t="inlineStr">
        <is>
          <t>Magaly</t>
        </is>
      </c>
      <c r="J129" t="n">
        <v>2</v>
      </c>
      <c r="K129" t="n">
        <v>15.25</v>
      </c>
      <c r="L129" t="n">
        <v>34</v>
      </c>
      <c r="M129" t="n">
        <v>0</v>
      </c>
      <c r="N129">
        <f>J129*L129*(1-M129)</f>
        <v/>
      </c>
      <c r="O129">
        <f>J129*K129</f>
        <v/>
      </c>
      <c r="P129">
        <f>N129-O129</f>
        <v/>
      </c>
      <c r="Q129">
        <f>IF(N129=0,0,P129/N129)</f>
        <v/>
      </c>
      <c r="R129" t="inlineStr">
        <is>
          <t>Apple Pay</t>
        </is>
      </c>
      <c r="S129" t="inlineStr">
        <is>
          <t>Stylist Recommendation</t>
        </is>
      </c>
    </row>
    <row r="130">
      <c r="A130" t="inlineStr">
        <is>
          <t>TRX-0129</t>
        </is>
      </c>
      <c r="B130" t="n">
        <v>46129</v>
      </c>
      <c r="C130" t="inlineStr">
        <is>
          <t>CG-001</t>
        </is>
      </c>
      <c r="D130" t="inlineStr">
        <is>
          <t>Gabriel Samra Coral Gables</t>
        </is>
      </c>
      <c r="E130" t="inlineStr">
        <is>
          <t>Sutra</t>
        </is>
      </c>
      <c r="F130" t="inlineStr">
        <is>
          <t>SUT-HSP-005</t>
        </is>
      </c>
      <c r="G130" t="inlineStr">
        <is>
          <t>Heat Spray</t>
        </is>
      </c>
      <c r="H130" t="inlineStr">
        <is>
          <t>Styling</t>
        </is>
      </c>
      <c r="I130" t="inlineStr">
        <is>
          <t>Melia</t>
        </is>
      </c>
      <c r="J130" t="n">
        <v>1</v>
      </c>
      <c r="K130" t="n">
        <v>9.5</v>
      </c>
      <c r="L130" t="n">
        <v>24</v>
      </c>
      <c r="M130" t="n">
        <v>0.05</v>
      </c>
      <c r="N130">
        <f>J130*L130*(1-M130)</f>
        <v/>
      </c>
      <c r="O130">
        <f>J130*K130</f>
        <v/>
      </c>
      <c r="P130">
        <f>N130-O130</f>
        <v/>
      </c>
      <c r="Q130">
        <f>IF(N130=0,0,P130/N130)</f>
        <v/>
      </c>
      <c r="R130" t="inlineStr">
        <is>
          <t>Apple Pay</t>
        </is>
      </c>
      <c r="S130" t="inlineStr">
        <is>
          <t>Existing Client</t>
        </is>
      </c>
    </row>
    <row r="131">
      <c r="A131" t="inlineStr">
        <is>
          <t>TRX-0130</t>
        </is>
      </c>
      <c r="B131" t="n">
        <v>46136</v>
      </c>
      <c r="C131" t="inlineStr">
        <is>
          <t>CG-001</t>
        </is>
      </c>
      <c r="D131" t="inlineStr">
        <is>
          <t>Gabriel Samra Coral Gables</t>
        </is>
      </c>
      <c r="E131" t="inlineStr">
        <is>
          <t>Sutra</t>
        </is>
      </c>
      <c r="F131" t="inlineStr">
        <is>
          <t>SUT-FIR-001</t>
        </is>
      </c>
      <c r="G131" t="inlineStr">
        <is>
          <t>Mini Flat Iron</t>
        </is>
      </c>
      <c r="H131" t="inlineStr">
        <is>
          <t>Hot Tools</t>
        </is>
      </c>
      <c r="I131" t="inlineStr">
        <is>
          <t>Melia</t>
        </is>
      </c>
      <c r="J131" t="n">
        <v>1</v>
      </c>
      <c r="K131" t="n">
        <v>38</v>
      </c>
      <c r="L131" t="n">
        <v>89</v>
      </c>
      <c r="M131" t="n">
        <v>0</v>
      </c>
      <c r="N131">
        <f>J131*L131*(1-M131)</f>
        <v/>
      </c>
      <c r="O131">
        <f>J131*K131</f>
        <v/>
      </c>
      <c r="P131">
        <f>N131-O131</f>
        <v/>
      </c>
      <c r="Q131">
        <f>IF(N131=0,0,P131/N131)</f>
        <v/>
      </c>
      <c r="R131" t="inlineStr">
        <is>
          <t>Card</t>
        </is>
      </c>
      <c r="S131" t="inlineStr">
        <is>
          <t>Post-Service Retail</t>
        </is>
      </c>
    </row>
    <row r="132">
      <c r="A132" t="inlineStr">
        <is>
          <t>TRX-0131</t>
        </is>
      </c>
      <c r="B132" t="n">
        <v>46038</v>
      </c>
      <c r="C132" t="inlineStr">
        <is>
          <t>DR-001</t>
        </is>
      </c>
      <c r="D132" t="inlineStr">
        <is>
          <t>Gabriel Samra Doral</t>
        </is>
      </c>
      <c r="E132" t="inlineStr">
        <is>
          <t>Sutra</t>
        </is>
      </c>
      <c r="F132" t="inlineStr">
        <is>
          <t>SUT-DRY-004</t>
        </is>
      </c>
      <c r="G132" t="inlineStr">
        <is>
          <t>Professional Hair Dryer</t>
        </is>
      </c>
      <c r="H132" t="inlineStr">
        <is>
          <t>Hot Tools</t>
        </is>
      </c>
      <c r="I132" t="inlineStr">
        <is>
          <t>Magaly</t>
        </is>
      </c>
      <c r="J132" t="n">
        <v>1</v>
      </c>
      <c r="K132" t="n">
        <v>62</v>
      </c>
      <c r="L132" t="n">
        <v>149</v>
      </c>
      <c r="M132" t="n">
        <v>0</v>
      </c>
      <c r="N132">
        <f>J132*L132*(1-M132)</f>
        <v/>
      </c>
      <c r="O132">
        <f>J132*K132</f>
        <v/>
      </c>
      <c r="P132">
        <f>N132-O132</f>
        <v/>
      </c>
      <c r="Q132">
        <f>IF(N132=0,0,P132/N132)</f>
        <v/>
      </c>
      <c r="R132" t="inlineStr">
        <is>
          <t>Gift Card</t>
        </is>
      </c>
      <c r="S132" t="inlineStr">
        <is>
          <t>Existing Client</t>
        </is>
      </c>
    </row>
    <row r="133">
      <c r="A133" t="inlineStr">
        <is>
          <t>TRX-0132</t>
        </is>
      </c>
      <c r="B133" t="n">
        <v>46035</v>
      </c>
      <c r="C133" t="inlineStr">
        <is>
          <t>CG-001</t>
        </is>
      </c>
      <c r="D133" t="inlineStr">
        <is>
          <t>Gabriel Samra Coral Gables</t>
        </is>
      </c>
      <c r="E133" t="inlineStr">
        <is>
          <t>Truss</t>
        </is>
      </c>
      <c r="F133" t="inlineStr">
        <is>
          <t>TRU-OIL-004</t>
        </is>
      </c>
      <c r="G133" t="inlineStr">
        <is>
          <t>Deluxe Prime Oil</t>
        </is>
      </c>
      <c r="H133" t="inlineStr">
        <is>
          <t>Finishing</t>
        </is>
      </c>
      <c r="I133" t="inlineStr">
        <is>
          <t>Isaac</t>
        </is>
      </c>
      <c r="J133" t="n">
        <v>2</v>
      </c>
      <c r="K133" t="n">
        <v>18</v>
      </c>
      <c r="L133" t="n">
        <v>42</v>
      </c>
      <c r="M133" t="n">
        <v>0</v>
      </c>
      <c r="N133">
        <f>J133*L133*(1-M133)</f>
        <v/>
      </c>
      <c r="O133">
        <f>J133*K133</f>
        <v/>
      </c>
      <c r="P133">
        <f>N133-O133</f>
        <v/>
      </c>
      <c r="Q133">
        <f>IF(N133=0,0,P133/N133)</f>
        <v/>
      </c>
      <c r="R133" t="inlineStr">
        <is>
          <t>Cash</t>
        </is>
      </c>
      <c r="S133" t="inlineStr">
        <is>
          <t>Existing Client</t>
        </is>
      </c>
    </row>
    <row r="134">
      <c r="A134" t="inlineStr">
        <is>
          <t>TRX-0133</t>
        </is>
      </c>
      <c r="B134" t="n">
        <v>46078</v>
      </c>
      <c r="C134" t="inlineStr">
        <is>
          <t>CG-001</t>
        </is>
      </c>
      <c r="D134" t="inlineStr">
        <is>
          <t>Gabriel Samra Coral Gables</t>
        </is>
      </c>
      <c r="E134" t="inlineStr">
        <is>
          <t>Sutra</t>
        </is>
      </c>
      <c r="F134" t="inlineStr">
        <is>
          <t>SUT-DRY-004</t>
        </is>
      </c>
      <c r="G134" t="inlineStr">
        <is>
          <t>Professional Hair Dryer</t>
        </is>
      </c>
      <c r="H134" t="inlineStr">
        <is>
          <t>Hot Tools</t>
        </is>
      </c>
      <c r="I134" t="inlineStr">
        <is>
          <t>Isaac</t>
        </is>
      </c>
      <c r="J134" t="n">
        <v>2</v>
      </c>
      <c r="K134" t="n">
        <v>62</v>
      </c>
      <c r="L134" t="n">
        <v>149</v>
      </c>
      <c r="M134" t="n">
        <v>0</v>
      </c>
      <c r="N134">
        <f>J134*L134*(1-M134)</f>
        <v/>
      </c>
      <c r="O134">
        <f>J134*K134</f>
        <v/>
      </c>
      <c r="P134">
        <f>N134-O134</f>
        <v/>
      </c>
      <c r="Q134">
        <f>IF(N134=0,0,P134/N134)</f>
        <v/>
      </c>
      <c r="R134" t="inlineStr">
        <is>
          <t>Card</t>
        </is>
      </c>
      <c r="S134" t="inlineStr">
        <is>
          <t>Post-Service Retail</t>
        </is>
      </c>
    </row>
    <row r="135">
      <c r="A135" t="inlineStr">
        <is>
          <t>TRX-0134</t>
        </is>
      </c>
      <c r="B135" t="n">
        <v>46161</v>
      </c>
      <c r="C135" t="inlineStr">
        <is>
          <t>CG-001</t>
        </is>
      </c>
      <c r="D135" t="inlineStr">
        <is>
          <t>Gabriel Samra Coral Gables</t>
        </is>
      </c>
      <c r="E135" t="inlineStr">
        <is>
          <t>Truss</t>
        </is>
      </c>
      <c r="F135" t="inlineStr">
        <is>
          <t>TRU-MSK-003</t>
        </is>
      </c>
      <c r="G135" t="inlineStr">
        <is>
          <t>Net Mask</t>
        </is>
      </c>
      <c r="H135" t="inlineStr">
        <is>
          <t>Treatment</t>
        </is>
      </c>
      <c r="I135" t="inlineStr">
        <is>
          <t>Melia</t>
        </is>
      </c>
      <c r="J135" t="n">
        <v>1</v>
      </c>
      <c r="K135" t="n">
        <v>20</v>
      </c>
      <c r="L135" t="n">
        <v>45</v>
      </c>
      <c r="M135" t="n">
        <v>0</v>
      </c>
      <c r="N135">
        <f>J135*L135*(1-M135)</f>
        <v/>
      </c>
      <c r="O135">
        <f>J135*K135</f>
        <v/>
      </c>
      <c r="P135">
        <f>N135-O135</f>
        <v/>
      </c>
      <c r="Q135">
        <f>IF(N135=0,0,P135/N135)</f>
        <v/>
      </c>
      <c r="R135" t="inlineStr">
        <is>
          <t>Cash</t>
        </is>
      </c>
      <c r="S135" t="inlineStr">
        <is>
          <t>Existing Client</t>
        </is>
      </c>
    </row>
    <row r="136">
      <c r="A136" t="inlineStr">
        <is>
          <t>TRX-0135</t>
        </is>
      </c>
      <c r="B136" t="n">
        <v>46105</v>
      </c>
      <c r="C136" t="inlineStr">
        <is>
          <t>CG-001</t>
        </is>
      </c>
      <c r="D136" t="inlineStr">
        <is>
          <t>Gabriel Samra Coral Gables</t>
        </is>
      </c>
      <c r="E136" t="inlineStr">
        <is>
          <t>Sutra</t>
        </is>
      </c>
      <c r="F136" t="inlineStr">
        <is>
          <t>SUT-FIR-001</t>
        </is>
      </c>
      <c r="G136" t="inlineStr">
        <is>
          <t>Mini Flat Iron</t>
        </is>
      </c>
      <c r="H136" t="inlineStr">
        <is>
          <t>Hot Tools</t>
        </is>
      </c>
      <c r="I136" t="inlineStr">
        <is>
          <t>Isaac</t>
        </is>
      </c>
      <c r="J136" t="n">
        <v>1</v>
      </c>
      <c r="K136" t="n">
        <v>38</v>
      </c>
      <c r="L136" t="n">
        <v>89</v>
      </c>
      <c r="M136" t="n">
        <v>0</v>
      </c>
      <c r="N136">
        <f>J136*L136*(1-M136)</f>
        <v/>
      </c>
      <c r="O136">
        <f>J136*K136</f>
        <v/>
      </c>
      <c r="P136">
        <f>N136-O136</f>
        <v/>
      </c>
      <c r="Q136">
        <f>IF(N136=0,0,P136/N136)</f>
        <v/>
      </c>
      <c r="R136" t="inlineStr">
        <is>
          <t>Gift Card</t>
        </is>
      </c>
      <c r="S136" t="inlineStr">
        <is>
          <t>Existing Client</t>
        </is>
      </c>
    </row>
    <row r="137">
      <c r="A137" t="inlineStr">
        <is>
          <t>TRX-0136</t>
        </is>
      </c>
      <c r="B137" t="n">
        <v>46137</v>
      </c>
      <c r="C137" t="inlineStr">
        <is>
          <t>DR-001</t>
        </is>
      </c>
      <c r="D137" t="inlineStr">
        <is>
          <t>Gabriel Samra Doral</t>
        </is>
      </c>
      <c r="E137" t="inlineStr">
        <is>
          <t>Truss</t>
        </is>
      </c>
      <c r="F137" t="inlineStr">
        <is>
          <t>TRU-CND-002</t>
        </is>
      </c>
      <c r="G137" t="inlineStr">
        <is>
          <t>Infusion Conditioner</t>
        </is>
      </c>
      <c r="H137" t="inlineStr">
        <is>
          <t>Hair Care</t>
        </is>
      </c>
      <c r="I137" t="inlineStr">
        <is>
          <t>Magaly</t>
        </is>
      </c>
      <c r="J137" t="n">
        <v>2</v>
      </c>
      <c r="K137" t="n">
        <v>15.25</v>
      </c>
      <c r="L137" t="n">
        <v>34</v>
      </c>
      <c r="M137" t="n">
        <v>0</v>
      </c>
      <c r="N137">
        <f>J137*L137*(1-M137)</f>
        <v/>
      </c>
      <c r="O137">
        <f>J137*K137</f>
        <v/>
      </c>
      <c r="P137">
        <f>N137-O137</f>
        <v/>
      </c>
      <c r="Q137">
        <f>IF(N137=0,0,P137/N137)</f>
        <v/>
      </c>
      <c r="R137" t="inlineStr">
        <is>
          <t>Gift Card</t>
        </is>
      </c>
      <c r="S137" t="inlineStr">
        <is>
          <t>Walk-in Client</t>
        </is>
      </c>
    </row>
    <row r="138">
      <c r="A138" t="inlineStr">
        <is>
          <t>TRX-0137</t>
        </is>
      </c>
      <c r="B138" t="n">
        <v>46156</v>
      </c>
      <c r="C138" t="inlineStr">
        <is>
          <t>CG-001</t>
        </is>
      </c>
      <c r="D138" t="inlineStr">
        <is>
          <t>Gabriel Samra Coral Gables</t>
        </is>
      </c>
      <c r="E138" t="inlineStr">
        <is>
          <t>Sutra</t>
        </is>
      </c>
      <c r="F138" t="inlineStr">
        <is>
          <t>SUT-HSP-005</t>
        </is>
      </c>
      <c r="G138" t="inlineStr">
        <is>
          <t>Heat Spray</t>
        </is>
      </c>
      <c r="H138" t="inlineStr">
        <is>
          <t>Styling</t>
        </is>
      </c>
      <c r="I138" t="inlineStr">
        <is>
          <t>Melia</t>
        </is>
      </c>
      <c r="J138" t="n">
        <v>1</v>
      </c>
      <c r="K138" t="n">
        <v>9.5</v>
      </c>
      <c r="L138" t="n">
        <v>24</v>
      </c>
      <c r="M138" t="n">
        <v>0</v>
      </c>
      <c r="N138">
        <f>J138*L138*(1-M138)</f>
        <v/>
      </c>
      <c r="O138">
        <f>J138*K138</f>
        <v/>
      </c>
      <c r="P138">
        <f>N138-O138</f>
        <v/>
      </c>
      <c r="Q138">
        <f>IF(N138=0,0,P138/N138)</f>
        <v/>
      </c>
      <c r="R138" t="inlineStr">
        <is>
          <t>Card</t>
        </is>
      </c>
      <c r="S138" t="inlineStr">
        <is>
          <t>Stylist Recommendation</t>
        </is>
      </c>
    </row>
    <row r="139">
      <c r="A139" t="inlineStr">
        <is>
          <t>TRX-0138</t>
        </is>
      </c>
      <c r="B139" t="n">
        <v>46050</v>
      </c>
      <c r="C139" t="inlineStr">
        <is>
          <t>DR-001</t>
        </is>
      </c>
      <c r="D139" t="inlineStr">
        <is>
          <t>Gabriel Samra Doral</t>
        </is>
      </c>
      <c r="E139" t="inlineStr">
        <is>
          <t>Sutra</t>
        </is>
      </c>
      <c r="F139" t="inlineStr">
        <is>
          <t>SUT-CUR-002</t>
        </is>
      </c>
      <c r="G139" t="inlineStr">
        <is>
          <t>Clipless Curling Iron</t>
        </is>
      </c>
      <c r="H139" t="inlineStr">
        <is>
          <t>Hot Tools</t>
        </is>
      </c>
      <c r="I139" t="inlineStr">
        <is>
          <t>Magaly</t>
        </is>
      </c>
      <c r="J139" t="n">
        <v>1</v>
      </c>
      <c r="K139" t="n">
        <v>42</v>
      </c>
      <c r="L139" t="n">
        <v>99</v>
      </c>
      <c r="M139" t="n">
        <v>0.1</v>
      </c>
      <c r="N139">
        <f>J139*L139*(1-M139)</f>
        <v/>
      </c>
      <c r="O139">
        <f>J139*K139</f>
        <v/>
      </c>
      <c r="P139">
        <f>N139-O139</f>
        <v/>
      </c>
      <c r="Q139">
        <f>IF(N139=0,0,P139/N139)</f>
        <v/>
      </c>
      <c r="R139" t="inlineStr">
        <is>
          <t>Card</t>
        </is>
      </c>
      <c r="S139" t="inlineStr">
        <is>
          <t>Post-Service Retail</t>
        </is>
      </c>
    </row>
    <row r="140">
      <c r="A140" t="inlineStr">
        <is>
          <t>TRX-0139</t>
        </is>
      </c>
      <c r="B140" t="n">
        <v>46039</v>
      </c>
      <c r="C140" t="inlineStr">
        <is>
          <t>CG-001</t>
        </is>
      </c>
      <c r="D140" t="inlineStr">
        <is>
          <t>Gabriel Samra Coral Gables</t>
        </is>
      </c>
      <c r="E140" t="inlineStr">
        <is>
          <t>Sutra</t>
        </is>
      </c>
      <c r="F140" t="inlineStr">
        <is>
          <t>SUT-HSP-005</t>
        </is>
      </c>
      <c r="G140" t="inlineStr">
        <is>
          <t>Heat Spray</t>
        </is>
      </c>
      <c r="H140" t="inlineStr">
        <is>
          <t>Styling</t>
        </is>
      </c>
      <c r="I140" t="inlineStr">
        <is>
          <t>Melia</t>
        </is>
      </c>
      <c r="J140" t="n">
        <v>1</v>
      </c>
      <c r="K140" t="n">
        <v>9.5</v>
      </c>
      <c r="L140" t="n">
        <v>24</v>
      </c>
      <c r="M140" t="n">
        <v>0</v>
      </c>
      <c r="N140">
        <f>J140*L140*(1-M140)</f>
        <v/>
      </c>
      <c r="O140">
        <f>J140*K140</f>
        <v/>
      </c>
      <c r="P140">
        <f>N140-O140</f>
        <v/>
      </c>
      <c r="Q140">
        <f>IF(N140=0,0,P140/N140)</f>
        <v/>
      </c>
      <c r="R140" t="inlineStr">
        <is>
          <t>Gift Card</t>
        </is>
      </c>
      <c r="S140" t="inlineStr">
        <is>
          <t>Post-Service Retail</t>
        </is>
      </c>
    </row>
    <row r="141">
      <c r="A141" t="inlineStr">
        <is>
          <t>TRX-0140</t>
        </is>
      </c>
      <c r="B141" t="n">
        <v>46048</v>
      </c>
      <c r="C141" t="inlineStr">
        <is>
          <t>DR-001</t>
        </is>
      </c>
      <c r="D141" t="inlineStr">
        <is>
          <t>Gabriel Samra Doral</t>
        </is>
      </c>
      <c r="E141" t="inlineStr">
        <is>
          <t>Sutra</t>
        </is>
      </c>
      <c r="F141" t="inlineStr">
        <is>
          <t>SUT-BLO-003</t>
        </is>
      </c>
      <c r="G141" t="inlineStr">
        <is>
          <t>Blowout Brush</t>
        </is>
      </c>
      <c r="H141" t="inlineStr">
        <is>
          <t>Hot Tools</t>
        </is>
      </c>
      <c r="I141" t="inlineStr">
        <is>
          <t>Isaac</t>
        </is>
      </c>
      <c r="J141" t="n">
        <v>2</v>
      </c>
      <c r="K141" t="n">
        <v>48</v>
      </c>
      <c r="L141" t="n">
        <v>119</v>
      </c>
      <c r="M141" t="n">
        <v>0</v>
      </c>
      <c r="N141">
        <f>J141*L141*(1-M141)</f>
        <v/>
      </c>
      <c r="O141">
        <f>J141*K141</f>
        <v/>
      </c>
      <c r="P141">
        <f>N141-O141</f>
        <v/>
      </c>
      <c r="Q141">
        <f>IF(N141=0,0,P141/N141)</f>
        <v/>
      </c>
      <c r="R141" t="inlineStr">
        <is>
          <t>Gift Card</t>
        </is>
      </c>
      <c r="S141" t="inlineStr">
        <is>
          <t>Stylist Recommendation</t>
        </is>
      </c>
    </row>
    <row r="142">
      <c r="A142" t="inlineStr">
        <is>
          <t>TRX-0141</t>
        </is>
      </c>
      <c r="B142" t="n">
        <v>46109</v>
      </c>
      <c r="C142" t="inlineStr">
        <is>
          <t>DR-001</t>
        </is>
      </c>
      <c r="D142" t="inlineStr">
        <is>
          <t>Gabriel Samra Doral</t>
        </is>
      </c>
      <c r="E142" t="inlineStr">
        <is>
          <t>Truss</t>
        </is>
      </c>
      <c r="F142" t="inlineStr">
        <is>
          <t>TRU-OIL-004</t>
        </is>
      </c>
      <c r="G142" t="inlineStr">
        <is>
          <t>Deluxe Prime Oil</t>
        </is>
      </c>
      <c r="H142" t="inlineStr">
        <is>
          <t>Finishing</t>
        </is>
      </c>
      <c r="I142" t="inlineStr">
        <is>
          <t>Magaly</t>
        </is>
      </c>
      <c r="J142" t="n">
        <v>2</v>
      </c>
      <c r="K142" t="n">
        <v>18</v>
      </c>
      <c r="L142" t="n">
        <v>42</v>
      </c>
      <c r="M142" t="n">
        <v>0</v>
      </c>
      <c r="N142">
        <f>J142*L142*(1-M142)</f>
        <v/>
      </c>
      <c r="O142">
        <f>J142*K142</f>
        <v/>
      </c>
      <c r="P142">
        <f>N142-O142</f>
        <v/>
      </c>
      <c r="Q142">
        <f>IF(N142=0,0,P142/N142)</f>
        <v/>
      </c>
      <c r="R142" t="inlineStr">
        <is>
          <t>Apple Pay</t>
        </is>
      </c>
      <c r="S142" t="inlineStr">
        <is>
          <t>Stylist Recommendation</t>
        </is>
      </c>
    </row>
    <row r="143">
      <c r="A143" t="inlineStr">
        <is>
          <t>TRX-0142</t>
        </is>
      </c>
      <c r="B143" t="n">
        <v>46118</v>
      </c>
      <c r="C143" t="inlineStr">
        <is>
          <t>DR-001</t>
        </is>
      </c>
      <c r="D143" t="inlineStr">
        <is>
          <t>Gabriel Samra Doral</t>
        </is>
      </c>
      <c r="E143" t="inlineStr">
        <is>
          <t>Sutra</t>
        </is>
      </c>
      <c r="F143" t="inlineStr">
        <is>
          <t>SUT-FIR-001</t>
        </is>
      </c>
      <c r="G143" t="inlineStr">
        <is>
          <t>Mini Flat Iron</t>
        </is>
      </c>
      <c r="H143" t="inlineStr">
        <is>
          <t>Hot Tools</t>
        </is>
      </c>
      <c r="I143" t="inlineStr">
        <is>
          <t>Magaly</t>
        </is>
      </c>
      <c r="J143" t="n">
        <v>3</v>
      </c>
      <c r="K143" t="n">
        <v>38</v>
      </c>
      <c r="L143" t="n">
        <v>89</v>
      </c>
      <c r="M143" t="n">
        <v>0.05</v>
      </c>
      <c r="N143">
        <f>J143*L143*(1-M143)</f>
        <v/>
      </c>
      <c r="O143">
        <f>J143*K143</f>
        <v/>
      </c>
      <c r="P143">
        <f>N143-O143</f>
        <v/>
      </c>
      <c r="Q143">
        <f>IF(N143=0,0,P143/N143)</f>
        <v/>
      </c>
      <c r="R143" t="inlineStr">
        <is>
          <t>Card</t>
        </is>
      </c>
      <c r="S143" t="inlineStr">
        <is>
          <t>Existing Client</t>
        </is>
      </c>
    </row>
    <row r="144">
      <c r="A144" t="inlineStr">
        <is>
          <t>TRX-0143</t>
        </is>
      </c>
      <c r="B144" t="n">
        <v>46133</v>
      </c>
      <c r="C144" t="inlineStr">
        <is>
          <t>CG-001</t>
        </is>
      </c>
      <c r="D144" t="inlineStr">
        <is>
          <t>Gabriel Samra Coral Gables</t>
        </is>
      </c>
      <c r="E144" t="inlineStr">
        <is>
          <t>Truss</t>
        </is>
      </c>
      <c r="F144" t="inlineStr">
        <is>
          <t>TRU-CND-002</t>
        </is>
      </c>
      <c r="G144" t="inlineStr">
        <is>
          <t>Infusion Conditioner</t>
        </is>
      </c>
      <c r="H144" t="inlineStr">
        <is>
          <t>Hair Care</t>
        </is>
      </c>
      <c r="I144" t="inlineStr">
        <is>
          <t>Isaac</t>
        </is>
      </c>
      <c r="J144" t="n">
        <v>1</v>
      </c>
      <c r="K144" t="n">
        <v>15.25</v>
      </c>
      <c r="L144" t="n">
        <v>34</v>
      </c>
      <c r="M144" t="n">
        <v>0.05</v>
      </c>
      <c r="N144">
        <f>J144*L144*(1-M144)</f>
        <v/>
      </c>
      <c r="O144">
        <f>J144*K144</f>
        <v/>
      </c>
      <c r="P144">
        <f>N144-O144</f>
        <v/>
      </c>
      <c r="Q144">
        <f>IF(N144=0,0,P144/N144)</f>
        <v/>
      </c>
      <c r="R144" t="inlineStr">
        <is>
          <t>Card</t>
        </is>
      </c>
      <c r="S144" t="inlineStr">
        <is>
          <t>Post-Service Retail</t>
        </is>
      </c>
    </row>
    <row r="145">
      <c r="A145" t="inlineStr">
        <is>
          <t>TRX-0144</t>
        </is>
      </c>
      <c r="B145" t="n">
        <v>46113</v>
      </c>
      <c r="C145" t="inlineStr">
        <is>
          <t>DR-001</t>
        </is>
      </c>
      <c r="D145" t="inlineStr">
        <is>
          <t>Gabriel Samra Doral</t>
        </is>
      </c>
      <c r="E145" t="inlineStr">
        <is>
          <t>Truss</t>
        </is>
      </c>
      <c r="F145" t="inlineStr">
        <is>
          <t>TRU-CND-002</t>
        </is>
      </c>
      <c r="G145" t="inlineStr">
        <is>
          <t>Infusion Conditioner</t>
        </is>
      </c>
      <c r="H145" t="inlineStr">
        <is>
          <t>Hair Care</t>
        </is>
      </c>
      <c r="I145" t="inlineStr">
        <is>
          <t>Melia</t>
        </is>
      </c>
      <c r="J145" t="n">
        <v>2</v>
      </c>
      <c r="K145" t="n">
        <v>15.25</v>
      </c>
      <c r="L145" t="n">
        <v>34</v>
      </c>
      <c r="M145" t="n">
        <v>0.1</v>
      </c>
      <c r="N145">
        <f>J145*L145*(1-M145)</f>
        <v/>
      </c>
      <c r="O145">
        <f>J145*K145</f>
        <v/>
      </c>
      <c r="P145">
        <f>N145-O145</f>
        <v/>
      </c>
      <c r="Q145">
        <f>IF(N145=0,0,P145/N145)</f>
        <v/>
      </c>
      <c r="R145" t="inlineStr">
        <is>
          <t>Card</t>
        </is>
      </c>
      <c r="S145" t="inlineStr">
        <is>
          <t>Post-Service Retail</t>
        </is>
      </c>
    </row>
    <row r="146">
      <c r="A146" t="inlineStr">
        <is>
          <t>TRX-0145</t>
        </is>
      </c>
      <c r="B146" t="n">
        <v>46113</v>
      </c>
      <c r="C146" t="inlineStr">
        <is>
          <t>DR-001</t>
        </is>
      </c>
      <c r="D146" t="inlineStr">
        <is>
          <t>Gabriel Samra Doral</t>
        </is>
      </c>
      <c r="E146" t="inlineStr">
        <is>
          <t>Sutra</t>
        </is>
      </c>
      <c r="F146" t="inlineStr">
        <is>
          <t>SUT-HSP-005</t>
        </is>
      </c>
      <c r="G146" t="inlineStr">
        <is>
          <t>Heat Spray</t>
        </is>
      </c>
      <c r="H146" t="inlineStr">
        <is>
          <t>Styling</t>
        </is>
      </c>
      <c r="I146" t="inlineStr">
        <is>
          <t>Isaac</t>
        </is>
      </c>
      <c r="J146" t="n">
        <v>1</v>
      </c>
      <c r="K146" t="n">
        <v>9.5</v>
      </c>
      <c r="L146" t="n">
        <v>24</v>
      </c>
      <c r="M146" t="n">
        <v>0</v>
      </c>
      <c r="N146">
        <f>J146*L146*(1-M146)</f>
        <v/>
      </c>
      <c r="O146">
        <f>J146*K146</f>
        <v/>
      </c>
      <c r="P146">
        <f>N146-O146</f>
        <v/>
      </c>
      <c r="Q146">
        <f>IF(N146=0,0,P146/N146)</f>
        <v/>
      </c>
      <c r="R146" t="inlineStr">
        <is>
          <t>Gift Card</t>
        </is>
      </c>
      <c r="S146" t="inlineStr">
        <is>
          <t>Walk-in Client</t>
        </is>
      </c>
    </row>
    <row r="147">
      <c r="A147" t="inlineStr">
        <is>
          <t>TRX-0146</t>
        </is>
      </c>
      <c r="B147" t="n">
        <v>46117</v>
      </c>
      <c r="C147" t="inlineStr">
        <is>
          <t>DR-001</t>
        </is>
      </c>
      <c r="D147" t="inlineStr">
        <is>
          <t>Gabriel Samra Doral</t>
        </is>
      </c>
      <c r="E147" t="inlineStr">
        <is>
          <t>Truss</t>
        </is>
      </c>
      <c r="F147" t="inlineStr">
        <is>
          <t>TRU-CND-002</t>
        </is>
      </c>
      <c r="G147" t="inlineStr">
        <is>
          <t>Infusion Conditioner</t>
        </is>
      </c>
      <c r="H147" t="inlineStr">
        <is>
          <t>Hair Care</t>
        </is>
      </c>
      <c r="I147" t="inlineStr">
        <is>
          <t>Isaac</t>
        </is>
      </c>
      <c r="J147" t="n">
        <v>1</v>
      </c>
      <c r="K147" t="n">
        <v>15.25</v>
      </c>
      <c r="L147" t="n">
        <v>34</v>
      </c>
      <c r="M147" t="n">
        <v>0</v>
      </c>
      <c r="N147">
        <f>J147*L147*(1-M147)</f>
        <v/>
      </c>
      <c r="O147">
        <f>J147*K147</f>
        <v/>
      </c>
      <c r="P147">
        <f>N147-O147</f>
        <v/>
      </c>
      <c r="Q147">
        <f>IF(N147=0,0,P147/N147)</f>
        <v/>
      </c>
      <c r="R147" t="inlineStr">
        <is>
          <t>Gift Card</t>
        </is>
      </c>
      <c r="S147" t="inlineStr">
        <is>
          <t>Existing Client</t>
        </is>
      </c>
    </row>
    <row r="148">
      <c r="A148" t="inlineStr">
        <is>
          <t>TRX-0147</t>
        </is>
      </c>
      <c r="B148" t="n">
        <v>46030</v>
      </c>
      <c r="C148" t="inlineStr">
        <is>
          <t>DR-001</t>
        </is>
      </c>
      <c r="D148" t="inlineStr">
        <is>
          <t>Gabriel Samra Doral</t>
        </is>
      </c>
      <c r="E148" t="inlineStr">
        <is>
          <t>Sutra</t>
        </is>
      </c>
      <c r="F148" t="inlineStr">
        <is>
          <t>SUT-HSP-005</t>
        </is>
      </c>
      <c r="G148" t="inlineStr">
        <is>
          <t>Heat Spray</t>
        </is>
      </c>
      <c r="H148" t="inlineStr">
        <is>
          <t>Styling</t>
        </is>
      </c>
      <c r="I148" t="inlineStr">
        <is>
          <t>Isaac</t>
        </is>
      </c>
      <c r="J148" t="n">
        <v>1</v>
      </c>
      <c r="K148" t="n">
        <v>9.5</v>
      </c>
      <c r="L148" t="n">
        <v>24</v>
      </c>
      <c r="M148" t="n">
        <v>0.05</v>
      </c>
      <c r="N148">
        <f>J148*L148*(1-M148)</f>
        <v/>
      </c>
      <c r="O148">
        <f>J148*K148</f>
        <v/>
      </c>
      <c r="P148">
        <f>N148-O148</f>
        <v/>
      </c>
      <c r="Q148">
        <f>IF(N148=0,0,P148/N148)</f>
        <v/>
      </c>
      <c r="R148" t="inlineStr">
        <is>
          <t>Apple Pay</t>
        </is>
      </c>
      <c r="S148" t="inlineStr">
        <is>
          <t>Post-Service Retail</t>
        </is>
      </c>
    </row>
    <row r="149">
      <c r="A149" t="inlineStr">
        <is>
          <t>TRX-0148</t>
        </is>
      </c>
      <c r="B149" t="n">
        <v>46059</v>
      </c>
      <c r="C149" t="inlineStr">
        <is>
          <t>CG-001</t>
        </is>
      </c>
      <c r="D149" t="inlineStr">
        <is>
          <t>Gabriel Samra Coral Gables</t>
        </is>
      </c>
      <c r="E149" t="inlineStr">
        <is>
          <t>Truss</t>
        </is>
      </c>
      <c r="F149" t="inlineStr">
        <is>
          <t>TRU-SHP-001</t>
        </is>
      </c>
      <c r="G149" t="inlineStr">
        <is>
          <t>Infusion Shampoo</t>
        </is>
      </c>
      <c r="H149" t="inlineStr">
        <is>
          <t>Hair Care</t>
        </is>
      </c>
      <c r="I149" t="inlineStr">
        <is>
          <t>Isaac</t>
        </is>
      </c>
      <c r="J149" t="n">
        <v>1</v>
      </c>
      <c r="K149" t="n">
        <v>14.5</v>
      </c>
      <c r="L149" t="n">
        <v>32</v>
      </c>
      <c r="M149" t="n">
        <v>0</v>
      </c>
      <c r="N149">
        <f>J149*L149*(1-M149)</f>
        <v/>
      </c>
      <c r="O149">
        <f>J149*K149</f>
        <v/>
      </c>
      <c r="P149">
        <f>N149-O149</f>
        <v/>
      </c>
      <c r="Q149">
        <f>IF(N149=0,0,P149/N149)</f>
        <v/>
      </c>
      <c r="R149" t="inlineStr">
        <is>
          <t>Card</t>
        </is>
      </c>
      <c r="S149" t="inlineStr">
        <is>
          <t>Existing Client</t>
        </is>
      </c>
    </row>
    <row r="150">
      <c r="A150" t="inlineStr">
        <is>
          <t>TRX-0149</t>
        </is>
      </c>
      <c r="B150" t="n">
        <v>46119</v>
      </c>
      <c r="C150" t="inlineStr">
        <is>
          <t>CG-001</t>
        </is>
      </c>
      <c r="D150" t="inlineStr">
        <is>
          <t>Gabriel Samra Coral Gables</t>
        </is>
      </c>
      <c r="E150" t="inlineStr">
        <is>
          <t>Sutra</t>
        </is>
      </c>
      <c r="F150" t="inlineStr">
        <is>
          <t>SUT-DRY-004</t>
        </is>
      </c>
      <c r="G150" t="inlineStr">
        <is>
          <t>Professional Hair Dryer</t>
        </is>
      </c>
      <c r="H150" t="inlineStr">
        <is>
          <t>Hot Tools</t>
        </is>
      </c>
      <c r="I150" t="inlineStr">
        <is>
          <t>Melia</t>
        </is>
      </c>
      <c r="J150" t="n">
        <v>1</v>
      </c>
      <c r="K150" t="n">
        <v>62</v>
      </c>
      <c r="L150" t="n">
        <v>149</v>
      </c>
      <c r="M150" t="n">
        <v>0</v>
      </c>
      <c r="N150">
        <f>J150*L150*(1-M150)</f>
        <v/>
      </c>
      <c r="O150">
        <f>J150*K150</f>
        <v/>
      </c>
      <c r="P150">
        <f>N150-O150</f>
        <v/>
      </c>
      <c r="Q150">
        <f>IF(N150=0,0,P150/N150)</f>
        <v/>
      </c>
      <c r="R150" t="inlineStr">
        <is>
          <t>Apple Pay</t>
        </is>
      </c>
      <c r="S150" t="inlineStr">
        <is>
          <t>Post-Service Retail</t>
        </is>
      </c>
    </row>
    <row r="151">
      <c r="A151" t="inlineStr">
        <is>
          <t>TRX-0150</t>
        </is>
      </c>
      <c r="B151" t="n">
        <v>46036</v>
      </c>
      <c r="C151" t="inlineStr">
        <is>
          <t>CG-001</t>
        </is>
      </c>
      <c r="D151" t="inlineStr">
        <is>
          <t>Gabriel Samra Coral Gables</t>
        </is>
      </c>
      <c r="E151" t="inlineStr">
        <is>
          <t>Sutra</t>
        </is>
      </c>
      <c r="F151" t="inlineStr">
        <is>
          <t>SUT-HSP-005</t>
        </is>
      </c>
      <c r="G151" t="inlineStr">
        <is>
          <t>Heat Spray</t>
        </is>
      </c>
      <c r="H151" t="inlineStr">
        <is>
          <t>Styling</t>
        </is>
      </c>
      <c r="I151" t="inlineStr">
        <is>
          <t>Melia</t>
        </is>
      </c>
      <c r="J151" t="n">
        <v>1</v>
      </c>
      <c r="K151" t="n">
        <v>9.5</v>
      </c>
      <c r="L151" t="n">
        <v>24</v>
      </c>
      <c r="M151" t="n">
        <v>0.05</v>
      </c>
      <c r="N151">
        <f>J151*L151*(1-M151)</f>
        <v/>
      </c>
      <c r="O151">
        <f>J151*K151</f>
        <v/>
      </c>
      <c r="P151">
        <f>N151-O151</f>
        <v/>
      </c>
      <c r="Q151">
        <f>IF(N151=0,0,P151/N151)</f>
        <v/>
      </c>
      <c r="R151" t="inlineStr">
        <is>
          <t>Card</t>
        </is>
      </c>
      <c r="S151" t="inlineStr">
        <is>
          <t>Post-Service Retail</t>
        </is>
      </c>
    </row>
    <row r="152">
      <c r="A152" t="inlineStr">
        <is>
          <t>T100152</t>
        </is>
      </c>
      <c r="B152" s="10" t="n">
        <v>45292</v>
      </c>
      <c r="C152" t="inlineStr">
        <is>
          <t>S001</t>
        </is>
      </c>
      <c r="D152" t="inlineStr">
        <is>
          <t>Miami Design District</t>
        </is>
      </c>
      <c r="E152" t="inlineStr">
        <is>
          <t>Gabriel Samra</t>
        </is>
      </c>
      <c r="F152" t="inlineStr">
        <is>
          <t>GS001</t>
        </is>
      </c>
      <c r="G152" t="inlineStr">
        <is>
          <t>Keratin Treatment</t>
        </is>
      </c>
      <c r="H152" t="inlineStr">
        <is>
          <t>Hair Treatment</t>
        </is>
      </c>
      <c r="I152" t="inlineStr">
        <is>
          <t>Olivia</t>
        </is>
      </c>
      <c r="J152" t="n">
        <v>37</v>
      </c>
      <c r="K152" t="n">
        <v>19.91</v>
      </c>
      <c r="L152" t="n">
        <v>42.69</v>
      </c>
      <c r="M152" t="n">
        <v>5</v>
      </c>
      <c r="N152" t="n">
        <v>1579.53</v>
      </c>
      <c r="O152" t="n">
        <v>736.67</v>
      </c>
      <c r="P152" t="n">
        <v>842.86</v>
      </c>
      <c r="Q152" t="n">
        <v>53.36</v>
      </c>
      <c r="R152" t="inlineStr">
        <is>
          <t>Apple Pay</t>
        </is>
      </c>
      <c r="S152" t="inlineStr">
        <is>
          <t>Returning</t>
        </is>
      </c>
    </row>
    <row r="153">
      <c r="A153" t="inlineStr">
        <is>
          <t>T100153</t>
        </is>
      </c>
      <c r="B153" s="10" t="n">
        <v>45323</v>
      </c>
      <c r="C153" t="inlineStr">
        <is>
          <t>S001</t>
        </is>
      </c>
      <c r="D153" t="inlineStr">
        <is>
          <t>Miami Design District</t>
        </is>
      </c>
      <c r="E153" t="inlineStr">
        <is>
          <t>Gabriel Samra</t>
        </is>
      </c>
      <c r="F153" t="inlineStr">
        <is>
          <t>GS001</t>
        </is>
      </c>
      <c r="G153" t="inlineStr">
        <is>
          <t>Keratin Treatment</t>
        </is>
      </c>
      <c r="H153" t="inlineStr">
        <is>
          <t>Hair Treatment</t>
        </is>
      </c>
      <c r="I153" t="inlineStr">
        <is>
          <t>Lucas</t>
        </is>
      </c>
      <c r="J153" t="n">
        <v>40</v>
      </c>
      <c r="K153" t="n">
        <v>24.67</v>
      </c>
      <c r="L153" t="n">
        <v>78.17</v>
      </c>
      <c r="M153" t="n">
        <v>0</v>
      </c>
      <c r="N153" t="n">
        <v>3126.8</v>
      </c>
      <c r="O153" t="n">
        <v>986.8</v>
      </c>
      <c r="P153" t="n">
        <v>2140</v>
      </c>
      <c r="Q153" t="n">
        <v>68.44</v>
      </c>
      <c r="R153" t="inlineStr">
        <is>
          <t>Credit Card</t>
        </is>
      </c>
      <c r="S153" t="inlineStr">
        <is>
          <t>New</t>
        </is>
      </c>
    </row>
    <row r="154">
      <c r="A154" t="inlineStr">
        <is>
          <t>T100154</t>
        </is>
      </c>
      <c r="B154" s="10" t="n">
        <v>45352</v>
      </c>
      <c r="C154" t="inlineStr">
        <is>
          <t>S001</t>
        </is>
      </c>
      <c r="D154" t="inlineStr">
        <is>
          <t>Miami Design District</t>
        </is>
      </c>
      <c r="E154" t="inlineStr">
        <is>
          <t>Gabriel Samra</t>
        </is>
      </c>
      <c r="F154" t="inlineStr">
        <is>
          <t>GS001</t>
        </is>
      </c>
      <c r="G154" t="inlineStr">
        <is>
          <t>Keratin Treatment</t>
        </is>
      </c>
      <c r="H154" t="inlineStr">
        <is>
          <t>Hair Treatment</t>
        </is>
      </c>
      <c r="I154" t="inlineStr">
        <is>
          <t>Lucas</t>
        </is>
      </c>
      <c r="J154" t="n">
        <v>43</v>
      </c>
      <c r="K154" t="n">
        <v>30.26</v>
      </c>
      <c r="L154" t="n">
        <v>81.76000000000001</v>
      </c>
      <c r="M154" t="n">
        <v>10</v>
      </c>
      <c r="N154" t="n">
        <v>3515.68</v>
      </c>
      <c r="O154" t="n">
        <v>1301.18</v>
      </c>
      <c r="P154" t="n">
        <v>2214.5</v>
      </c>
      <c r="Q154" t="n">
        <v>62.99</v>
      </c>
      <c r="R154" t="inlineStr">
        <is>
          <t>Cash</t>
        </is>
      </c>
      <c r="S154" t="inlineStr">
        <is>
          <t>Returning</t>
        </is>
      </c>
    </row>
    <row r="155">
      <c r="A155" t="inlineStr">
        <is>
          <t>T100155</t>
        </is>
      </c>
      <c r="B155" s="10" t="n">
        <v>45383</v>
      </c>
      <c r="C155" t="inlineStr">
        <is>
          <t>S001</t>
        </is>
      </c>
      <c r="D155" t="inlineStr">
        <is>
          <t>Miami Design District</t>
        </is>
      </c>
      <c r="E155" t="inlineStr">
        <is>
          <t>Gabriel Samra</t>
        </is>
      </c>
      <c r="F155" t="inlineStr">
        <is>
          <t>GS001</t>
        </is>
      </c>
      <c r="G155" t="inlineStr">
        <is>
          <t>Keratin Treatment</t>
        </is>
      </c>
      <c r="H155" t="inlineStr">
        <is>
          <t>Hair Treatment</t>
        </is>
      </c>
      <c r="I155" t="inlineStr">
        <is>
          <t>Lucas</t>
        </is>
      </c>
      <c r="J155" t="n">
        <v>41</v>
      </c>
      <c r="K155" t="n">
        <v>28.99</v>
      </c>
      <c r="L155" t="n">
        <v>92.34999999999999</v>
      </c>
      <c r="M155" t="n">
        <v>0</v>
      </c>
      <c r="N155" t="n">
        <v>3786.35</v>
      </c>
      <c r="O155" t="n">
        <v>1188.59</v>
      </c>
      <c r="P155" t="n">
        <v>2597.76</v>
      </c>
      <c r="Q155" t="n">
        <v>68.61</v>
      </c>
      <c r="R155" t="inlineStr">
        <is>
          <t>Apple Pay</t>
        </is>
      </c>
      <c r="S155" t="inlineStr">
        <is>
          <t>Returning</t>
        </is>
      </c>
    </row>
    <row r="156">
      <c r="A156" t="inlineStr">
        <is>
          <t>T100156</t>
        </is>
      </c>
      <c r="B156" s="10" t="n">
        <v>45413</v>
      </c>
      <c r="C156" t="inlineStr">
        <is>
          <t>S001</t>
        </is>
      </c>
      <c r="D156" t="inlineStr">
        <is>
          <t>Miami Design District</t>
        </is>
      </c>
      <c r="E156" t="inlineStr">
        <is>
          <t>Gabriel Samra</t>
        </is>
      </c>
      <c r="F156" t="inlineStr">
        <is>
          <t>GS001</t>
        </is>
      </c>
      <c r="G156" t="inlineStr">
        <is>
          <t>Keratin Treatment</t>
        </is>
      </c>
      <c r="H156" t="inlineStr">
        <is>
          <t>Hair Treatment</t>
        </is>
      </c>
      <c r="I156" t="inlineStr">
        <is>
          <t>Emma</t>
        </is>
      </c>
      <c r="J156" t="n">
        <v>57</v>
      </c>
      <c r="K156" t="n">
        <v>26.48</v>
      </c>
      <c r="L156" t="n">
        <v>76.93000000000001</v>
      </c>
      <c r="M156" t="n">
        <v>10</v>
      </c>
      <c r="N156" t="n">
        <v>4385.01</v>
      </c>
      <c r="O156" t="n">
        <v>1509.36</v>
      </c>
      <c r="P156" t="n">
        <v>2875.65</v>
      </c>
      <c r="Q156" t="n">
        <v>65.58</v>
      </c>
      <c r="R156" t="inlineStr">
        <is>
          <t>Credit Card</t>
        </is>
      </c>
      <c r="S156" t="inlineStr">
        <is>
          <t>Returning</t>
        </is>
      </c>
    </row>
    <row r="157">
      <c r="A157" t="inlineStr">
        <is>
          <t>T100157</t>
        </is>
      </c>
      <c r="B157" s="10" t="n">
        <v>45444</v>
      </c>
      <c r="C157" t="inlineStr">
        <is>
          <t>S001</t>
        </is>
      </c>
      <c r="D157" t="inlineStr">
        <is>
          <t>Miami Design District</t>
        </is>
      </c>
      <c r="E157" t="inlineStr">
        <is>
          <t>Gabriel Samra</t>
        </is>
      </c>
      <c r="F157" t="inlineStr">
        <is>
          <t>GS001</t>
        </is>
      </c>
      <c r="G157" t="inlineStr">
        <is>
          <t>Keratin Treatment</t>
        </is>
      </c>
      <c r="H157" t="inlineStr">
        <is>
          <t>Hair Treatment</t>
        </is>
      </c>
      <c r="I157" t="inlineStr">
        <is>
          <t>Olivia</t>
        </is>
      </c>
      <c r="J157" t="n">
        <v>56</v>
      </c>
      <c r="K157" t="n">
        <v>20.18</v>
      </c>
      <c r="L157" t="n">
        <v>69.40000000000001</v>
      </c>
      <c r="M157" t="n">
        <v>10</v>
      </c>
      <c r="N157" t="n">
        <v>3886.4</v>
      </c>
      <c r="O157" t="n">
        <v>1130.08</v>
      </c>
      <c r="P157" t="n">
        <v>2756.32</v>
      </c>
      <c r="Q157" t="n">
        <v>70.92</v>
      </c>
      <c r="R157" t="inlineStr">
        <is>
          <t>Credit Card</t>
        </is>
      </c>
      <c r="S157" t="inlineStr">
        <is>
          <t>New</t>
        </is>
      </c>
    </row>
    <row r="158">
      <c r="A158" t="inlineStr">
        <is>
          <t>T100158</t>
        </is>
      </c>
      <c r="B158" s="10" t="n">
        <v>45474</v>
      </c>
      <c r="C158" t="inlineStr">
        <is>
          <t>S001</t>
        </is>
      </c>
      <c r="D158" t="inlineStr">
        <is>
          <t>Miami Design District</t>
        </is>
      </c>
      <c r="E158" t="inlineStr">
        <is>
          <t>Gabriel Samra</t>
        </is>
      </c>
      <c r="F158" t="inlineStr">
        <is>
          <t>GS001</t>
        </is>
      </c>
      <c r="G158" t="inlineStr">
        <is>
          <t>Keratin Treatment</t>
        </is>
      </c>
      <c r="H158" t="inlineStr">
        <is>
          <t>Hair Treatment</t>
        </is>
      </c>
      <c r="I158" t="inlineStr">
        <is>
          <t>Lucas</t>
        </is>
      </c>
      <c r="J158" t="n">
        <v>61</v>
      </c>
      <c r="K158" t="n">
        <v>33.35</v>
      </c>
      <c r="L158" t="n">
        <v>80.31999999999999</v>
      </c>
      <c r="M158" t="n">
        <v>10</v>
      </c>
      <c r="N158" t="n">
        <v>4899.52</v>
      </c>
      <c r="O158" t="n">
        <v>2034.35</v>
      </c>
      <c r="P158" t="n">
        <v>2865.17</v>
      </c>
      <c r="Q158" t="n">
        <v>58.48</v>
      </c>
      <c r="R158" t="inlineStr">
        <is>
          <t>Apple Pay</t>
        </is>
      </c>
      <c r="S158" t="inlineStr">
        <is>
          <t>Returning</t>
        </is>
      </c>
    </row>
    <row r="159">
      <c r="A159" t="inlineStr">
        <is>
          <t>T100159</t>
        </is>
      </c>
      <c r="B159" s="10" t="n">
        <v>45505</v>
      </c>
      <c r="C159" t="inlineStr">
        <is>
          <t>S001</t>
        </is>
      </c>
      <c r="D159" t="inlineStr">
        <is>
          <t>Miami Design District</t>
        </is>
      </c>
      <c r="E159" t="inlineStr">
        <is>
          <t>Gabriel Samra</t>
        </is>
      </c>
      <c r="F159" t="inlineStr">
        <is>
          <t>GS001</t>
        </is>
      </c>
      <c r="G159" t="inlineStr">
        <is>
          <t>Keratin Treatment</t>
        </is>
      </c>
      <c r="H159" t="inlineStr">
        <is>
          <t>Hair Treatment</t>
        </is>
      </c>
      <c r="I159" t="inlineStr">
        <is>
          <t>Sophia</t>
        </is>
      </c>
      <c r="J159" t="n">
        <v>53</v>
      </c>
      <c r="K159" t="n">
        <v>19.52</v>
      </c>
      <c r="L159" t="n">
        <v>48.34</v>
      </c>
      <c r="M159" t="n">
        <v>0</v>
      </c>
      <c r="N159" t="n">
        <v>2562.02</v>
      </c>
      <c r="O159" t="n">
        <v>1034.56</v>
      </c>
      <c r="P159" t="n">
        <v>1527.46</v>
      </c>
      <c r="Q159" t="n">
        <v>59.62</v>
      </c>
      <c r="R159" t="inlineStr">
        <is>
          <t>Credit Card</t>
        </is>
      </c>
      <c r="S159" t="inlineStr">
        <is>
          <t>Returning</t>
        </is>
      </c>
    </row>
    <row r="160">
      <c r="A160" t="inlineStr">
        <is>
          <t>T100160</t>
        </is>
      </c>
      <c r="B160" s="10" t="n">
        <v>45536</v>
      </c>
      <c r="C160" t="inlineStr">
        <is>
          <t>S001</t>
        </is>
      </c>
      <c r="D160" t="inlineStr">
        <is>
          <t>Miami Design District</t>
        </is>
      </c>
      <c r="E160" t="inlineStr">
        <is>
          <t>Gabriel Samra</t>
        </is>
      </c>
      <c r="F160" t="inlineStr">
        <is>
          <t>GS001</t>
        </is>
      </c>
      <c r="G160" t="inlineStr">
        <is>
          <t>Keratin Treatment</t>
        </is>
      </c>
      <c r="H160" t="inlineStr">
        <is>
          <t>Hair Treatment</t>
        </is>
      </c>
      <c r="I160" t="inlineStr">
        <is>
          <t>Olivia</t>
        </is>
      </c>
      <c r="J160" t="n">
        <v>60</v>
      </c>
      <c r="K160" t="n">
        <v>19.31</v>
      </c>
      <c r="L160" t="n">
        <v>57.65</v>
      </c>
      <c r="M160" t="n">
        <v>10</v>
      </c>
      <c r="N160" t="n">
        <v>3459</v>
      </c>
      <c r="O160" t="n">
        <v>1158.6</v>
      </c>
      <c r="P160" t="n">
        <v>2300.4</v>
      </c>
      <c r="Q160" t="n">
        <v>66.5</v>
      </c>
      <c r="R160" t="inlineStr">
        <is>
          <t>Apple Pay</t>
        </is>
      </c>
      <c r="S160" t="inlineStr">
        <is>
          <t>Returning</t>
        </is>
      </c>
    </row>
    <row r="161">
      <c r="A161" t="inlineStr">
        <is>
          <t>T100161</t>
        </is>
      </c>
      <c r="B161" s="10" t="n">
        <v>45566</v>
      </c>
      <c r="C161" t="inlineStr">
        <is>
          <t>S001</t>
        </is>
      </c>
      <c r="D161" t="inlineStr">
        <is>
          <t>Miami Design District</t>
        </is>
      </c>
      <c r="E161" t="inlineStr">
        <is>
          <t>Gabriel Samra</t>
        </is>
      </c>
      <c r="F161" t="inlineStr">
        <is>
          <t>GS001</t>
        </is>
      </c>
      <c r="G161" t="inlineStr">
        <is>
          <t>Keratin Treatment</t>
        </is>
      </c>
      <c r="H161" t="inlineStr">
        <is>
          <t>Hair Treatment</t>
        </is>
      </c>
      <c r="I161" t="inlineStr">
        <is>
          <t>Olivia</t>
        </is>
      </c>
      <c r="J161" t="n">
        <v>63</v>
      </c>
      <c r="K161" t="n">
        <v>18.91</v>
      </c>
      <c r="L161" t="n">
        <v>46.42</v>
      </c>
      <c r="M161" t="n">
        <v>0</v>
      </c>
      <c r="N161" t="n">
        <v>2924.46</v>
      </c>
      <c r="O161" t="n">
        <v>1191.33</v>
      </c>
      <c r="P161" t="n">
        <v>1733.13</v>
      </c>
      <c r="Q161" t="n">
        <v>59.26</v>
      </c>
      <c r="R161" t="inlineStr">
        <is>
          <t>Apple Pay</t>
        </is>
      </c>
      <c r="S161" t="inlineStr">
        <is>
          <t>Returning</t>
        </is>
      </c>
    </row>
    <row r="162">
      <c r="A162" t="inlineStr">
        <is>
          <t>T100162</t>
        </is>
      </c>
      <c r="B162" s="10" t="n">
        <v>45597</v>
      </c>
      <c r="C162" t="inlineStr">
        <is>
          <t>S001</t>
        </is>
      </c>
      <c r="D162" t="inlineStr">
        <is>
          <t>Miami Design District</t>
        </is>
      </c>
      <c r="E162" t="inlineStr">
        <is>
          <t>Gabriel Samra</t>
        </is>
      </c>
      <c r="F162" t="inlineStr">
        <is>
          <t>GS001</t>
        </is>
      </c>
      <c r="G162" t="inlineStr">
        <is>
          <t>Keratin Treatment</t>
        </is>
      </c>
      <c r="H162" t="inlineStr">
        <is>
          <t>Hair Treatment</t>
        </is>
      </c>
      <c r="I162" t="inlineStr">
        <is>
          <t>Emma</t>
        </is>
      </c>
      <c r="J162" t="n">
        <v>245</v>
      </c>
      <c r="K162" t="n">
        <v>34.61</v>
      </c>
      <c r="L162" t="n">
        <v>81.51000000000001</v>
      </c>
      <c r="M162" t="n">
        <v>0</v>
      </c>
      <c r="N162" t="n">
        <v>19969.95</v>
      </c>
      <c r="O162" t="n">
        <v>8479.450000000001</v>
      </c>
      <c r="P162" t="n">
        <v>11490.5</v>
      </c>
      <c r="Q162" t="n">
        <v>57.54</v>
      </c>
      <c r="R162" t="inlineStr">
        <is>
          <t>Apple Pay</t>
        </is>
      </c>
      <c r="S162" t="inlineStr">
        <is>
          <t>New</t>
        </is>
      </c>
    </row>
    <row r="163">
      <c r="A163" t="inlineStr">
        <is>
          <t>T100163</t>
        </is>
      </c>
      <c r="B163" s="10" t="n">
        <v>45627</v>
      </c>
      <c r="C163" t="inlineStr">
        <is>
          <t>S001</t>
        </is>
      </c>
      <c r="D163" t="inlineStr">
        <is>
          <t>Miami Design District</t>
        </is>
      </c>
      <c r="E163" t="inlineStr">
        <is>
          <t>Gabriel Samra</t>
        </is>
      </c>
      <c r="F163" t="inlineStr">
        <is>
          <t>GS001</t>
        </is>
      </c>
      <c r="G163" t="inlineStr">
        <is>
          <t>Keratin Treatment</t>
        </is>
      </c>
      <c r="H163" t="inlineStr">
        <is>
          <t>Hair Treatment</t>
        </is>
      </c>
      <c r="I163" t="inlineStr">
        <is>
          <t>Emma</t>
        </is>
      </c>
      <c r="J163" t="n">
        <v>89</v>
      </c>
      <c r="K163" t="n">
        <v>14.13</v>
      </c>
      <c r="L163" t="n">
        <v>36.48</v>
      </c>
      <c r="M163" t="n">
        <v>0</v>
      </c>
      <c r="N163" t="n">
        <v>3246.72</v>
      </c>
      <c r="O163" t="n">
        <v>1257.57</v>
      </c>
      <c r="P163" t="n">
        <v>1989.15</v>
      </c>
      <c r="Q163" t="n">
        <v>61.27</v>
      </c>
      <c r="R163" t="inlineStr">
        <is>
          <t>Credit Card</t>
        </is>
      </c>
      <c r="S163" t="inlineStr">
        <is>
          <t>Returning</t>
        </is>
      </c>
    </row>
    <row r="164">
      <c r="A164" t="inlineStr">
        <is>
          <t>T100164</t>
        </is>
      </c>
      <c r="B164" s="10" t="n">
        <v>45658</v>
      </c>
      <c r="C164" t="inlineStr">
        <is>
          <t>S001</t>
        </is>
      </c>
      <c r="D164" t="inlineStr">
        <is>
          <t>Miami Design District</t>
        </is>
      </c>
      <c r="E164" t="inlineStr">
        <is>
          <t>Gabriel Samra</t>
        </is>
      </c>
      <c r="F164" t="inlineStr">
        <is>
          <t>GS001</t>
        </is>
      </c>
      <c r="G164" t="inlineStr">
        <is>
          <t>Keratin Treatment</t>
        </is>
      </c>
      <c r="H164" t="inlineStr">
        <is>
          <t>Hair Treatment</t>
        </is>
      </c>
      <c r="I164" t="inlineStr">
        <is>
          <t>Emma</t>
        </is>
      </c>
      <c r="J164" t="n">
        <v>74</v>
      </c>
      <c r="K164" t="n">
        <v>14.08</v>
      </c>
      <c r="L164" t="n">
        <v>31.51</v>
      </c>
      <c r="M164" t="n">
        <v>0</v>
      </c>
      <c r="N164" t="n">
        <v>2331.74</v>
      </c>
      <c r="O164" t="n">
        <v>1041.92</v>
      </c>
      <c r="P164" t="n">
        <v>1289.82</v>
      </c>
      <c r="Q164" t="n">
        <v>55.32</v>
      </c>
      <c r="R164" t="inlineStr">
        <is>
          <t>Cash</t>
        </is>
      </c>
      <c r="S164" t="inlineStr">
        <is>
          <t>New</t>
        </is>
      </c>
    </row>
    <row r="165">
      <c r="A165" t="inlineStr">
        <is>
          <t>T100165</t>
        </is>
      </c>
      <c r="B165" s="10" t="n">
        <v>45689</v>
      </c>
      <c r="C165" t="inlineStr">
        <is>
          <t>S001</t>
        </is>
      </c>
      <c r="D165" t="inlineStr">
        <is>
          <t>Miami Design District</t>
        </is>
      </c>
      <c r="E165" t="inlineStr">
        <is>
          <t>Gabriel Samra</t>
        </is>
      </c>
      <c r="F165" t="inlineStr">
        <is>
          <t>GS001</t>
        </is>
      </c>
      <c r="G165" t="inlineStr">
        <is>
          <t>Keratin Treatment</t>
        </is>
      </c>
      <c r="H165" t="inlineStr">
        <is>
          <t>Hair Treatment</t>
        </is>
      </c>
      <c r="I165" t="inlineStr">
        <is>
          <t>Sophia</t>
        </is>
      </c>
      <c r="J165" t="n">
        <v>86</v>
      </c>
      <c r="K165" t="n">
        <v>19.52</v>
      </c>
      <c r="L165" t="n">
        <v>53.32</v>
      </c>
      <c r="M165" t="n">
        <v>0</v>
      </c>
      <c r="N165" t="n">
        <v>4585.52</v>
      </c>
      <c r="O165" t="n">
        <v>1678.72</v>
      </c>
      <c r="P165" t="n">
        <v>2906.8</v>
      </c>
      <c r="Q165" t="n">
        <v>63.39</v>
      </c>
      <c r="R165" t="inlineStr">
        <is>
          <t>Credit Card</t>
        </is>
      </c>
      <c r="S165" t="inlineStr">
        <is>
          <t>Returning</t>
        </is>
      </c>
    </row>
    <row r="166">
      <c r="A166" t="inlineStr">
        <is>
          <t>T100166</t>
        </is>
      </c>
      <c r="B166" s="10" t="n">
        <v>45717</v>
      </c>
      <c r="C166" t="inlineStr">
        <is>
          <t>S001</t>
        </is>
      </c>
      <c r="D166" t="inlineStr">
        <is>
          <t>Miami Design District</t>
        </is>
      </c>
      <c r="E166" t="inlineStr">
        <is>
          <t>Gabriel Samra</t>
        </is>
      </c>
      <c r="F166" t="inlineStr">
        <is>
          <t>GS001</t>
        </is>
      </c>
      <c r="G166" t="inlineStr">
        <is>
          <t>Keratin Treatment</t>
        </is>
      </c>
      <c r="H166" t="inlineStr">
        <is>
          <t>Hair Treatment</t>
        </is>
      </c>
      <c r="I166" t="inlineStr">
        <is>
          <t>Emma</t>
        </is>
      </c>
      <c r="J166" t="n">
        <v>104</v>
      </c>
      <c r="K166" t="n">
        <v>31.01</v>
      </c>
      <c r="L166" t="n">
        <v>95.67</v>
      </c>
      <c r="M166" t="n">
        <v>0</v>
      </c>
      <c r="N166" t="n">
        <v>9949.68</v>
      </c>
      <c r="O166" t="n">
        <v>3225.04</v>
      </c>
      <c r="P166" t="n">
        <v>6724.64</v>
      </c>
      <c r="Q166" t="n">
        <v>67.59</v>
      </c>
      <c r="R166" t="inlineStr">
        <is>
          <t>Apple Pay</t>
        </is>
      </c>
      <c r="S166" t="inlineStr">
        <is>
          <t>New</t>
        </is>
      </c>
    </row>
    <row r="167">
      <c r="A167" t="inlineStr">
        <is>
          <t>T100167</t>
        </is>
      </c>
      <c r="B167" s="10" t="n">
        <v>45748</v>
      </c>
      <c r="C167" t="inlineStr">
        <is>
          <t>S001</t>
        </is>
      </c>
      <c r="D167" t="inlineStr">
        <is>
          <t>Miami Design District</t>
        </is>
      </c>
      <c r="E167" t="inlineStr">
        <is>
          <t>Gabriel Samra</t>
        </is>
      </c>
      <c r="F167" t="inlineStr">
        <is>
          <t>GS001</t>
        </is>
      </c>
      <c r="G167" t="inlineStr">
        <is>
          <t>Keratin Treatment</t>
        </is>
      </c>
      <c r="H167" t="inlineStr">
        <is>
          <t>Hair Treatment</t>
        </is>
      </c>
      <c r="I167" t="inlineStr">
        <is>
          <t>Lucas</t>
        </is>
      </c>
      <c r="J167" t="n">
        <v>115</v>
      </c>
      <c r="K167" t="n">
        <v>15.24</v>
      </c>
      <c r="L167" t="n">
        <v>42.55</v>
      </c>
      <c r="M167" t="n">
        <v>0</v>
      </c>
      <c r="N167" t="n">
        <v>4893.25</v>
      </c>
      <c r="O167" t="n">
        <v>1752.6</v>
      </c>
      <c r="P167" t="n">
        <v>3140.65</v>
      </c>
      <c r="Q167" t="n">
        <v>64.18000000000001</v>
      </c>
      <c r="R167" t="inlineStr">
        <is>
          <t>Credit Card</t>
        </is>
      </c>
      <c r="S167" t="inlineStr">
        <is>
          <t>New</t>
        </is>
      </c>
    </row>
    <row r="168">
      <c r="A168" t="inlineStr">
        <is>
          <t>T100168</t>
        </is>
      </c>
      <c r="B168" s="10" t="n">
        <v>45778</v>
      </c>
      <c r="C168" t="inlineStr">
        <is>
          <t>S001</t>
        </is>
      </c>
      <c r="D168" t="inlineStr">
        <is>
          <t>Miami Design District</t>
        </is>
      </c>
      <c r="E168" t="inlineStr">
        <is>
          <t>Gabriel Samra</t>
        </is>
      </c>
      <c r="F168" t="inlineStr">
        <is>
          <t>GS001</t>
        </is>
      </c>
      <c r="G168" t="inlineStr">
        <is>
          <t>Keratin Treatment</t>
        </is>
      </c>
      <c r="H168" t="inlineStr">
        <is>
          <t>Hair Treatment</t>
        </is>
      </c>
      <c r="I168" t="inlineStr">
        <is>
          <t>Sophia</t>
        </is>
      </c>
      <c r="J168" t="n">
        <v>119</v>
      </c>
      <c r="K168" t="n">
        <v>14.46</v>
      </c>
      <c r="L168" t="n">
        <v>31.87</v>
      </c>
      <c r="M168" t="n">
        <v>10</v>
      </c>
      <c r="N168" t="n">
        <v>3792.53</v>
      </c>
      <c r="O168" t="n">
        <v>1720.74</v>
      </c>
      <c r="P168" t="n">
        <v>2071.79</v>
      </c>
      <c r="Q168" t="n">
        <v>54.63</v>
      </c>
      <c r="R168" t="inlineStr">
        <is>
          <t>Apple Pay</t>
        </is>
      </c>
      <c r="S168" t="inlineStr">
        <is>
          <t>Returning</t>
        </is>
      </c>
    </row>
    <row r="169">
      <c r="A169" t="inlineStr">
        <is>
          <t>T100169</t>
        </is>
      </c>
      <c r="B169" s="10" t="n">
        <v>45809</v>
      </c>
      <c r="C169" t="inlineStr">
        <is>
          <t>S001</t>
        </is>
      </c>
      <c r="D169" t="inlineStr">
        <is>
          <t>Miami Design District</t>
        </is>
      </c>
      <c r="E169" t="inlineStr">
        <is>
          <t>Gabriel Samra</t>
        </is>
      </c>
      <c r="F169" t="inlineStr">
        <is>
          <t>GS001</t>
        </is>
      </c>
      <c r="G169" t="inlineStr">
        <is>
          <t>Keratin Treatment</t>
        </is>
      </c>
      <c r="H169" t="inlineStr">
        <is>
          <t>Hair Treatment</t>
        </is>
      </c>
      <c r="I169" t="inlineStr">
        <is>
          <t>Lucas</t>
        </is>
      </c>
      <c r="J169" t="n">
        <v>118</v>
      </c>
      <c r="K169" t="n">
        <v>18.01</v>
      </c>
      <c r="L169" t="n">
        <v>54.6</v>
      </c>
      <c r="M169" t="n">
        <v>5</v>
      </c>
      <c r="N169" t="n">
        <v>6442.8</v>
      </c>
      <c r="O169" t="n">
        <v>2125.18</v>
      </c>
      <c r="P169" t="n">
        <v>4317.62</v>
      </c>
      <c r="Q169" t="n">
        <v>67.01000000000001</v>
      </c>
      <c r="R169" t="inlineStr">
        <is>
          <t>Credit Card</t>
        </is>
      </c>
      <c r="S169" t="inlineStr">
        <is>
          <t>Returning</t>
        </is>
      </c>
    </row>
    <row r="170">
      <c r="A170" t="inlineStr">
        <is>
          <t>T100170</t>
        </is>
      </c>
      <c r="B170" s="10" t="n">
        <v>45292</v>
      </c>
      <c r="C170" t="inlineStr">
        <is>
          <t>S001</t>
        </is>
      </c>
      <c r="D170" t="inlineStr">
        <is>
          <t>Miami Design District</t>
        </is>
      </c>
      <c r="E170" t="inlineStr">
        <is>
          <t>Gabriel Samra</t>
        </is>
      </c>
      <c r="F170" t="inlineStr">
        <is>
          <t>GS002</t>
        </is>
      </c>
      <c r="G170" t="inlineStr">
        <is>
          <t>Hydration Shampoo</t>
        </is>
      </c>
      <c r="H170" t="inlineStr">
        <is>
          <t>Hair Care</t>
        </is>
      </c>
      <c r="I170" t="inlineStr">
        <is>
          <t>Lucas</t>
        </is>
      </c>
      <c r="J170" t="n">
        <v>24</v>
      </c>
      <c r="K170" t="n">
        <v>16.18</v>
      </c>
      <c r="L170" t="n">
        <v>50.39</v>
      </c>
      <c r="M170" t="n">
        <v>10</v>
      </c>
      <c r="N170" t="n">
        <v>1209.36</v>
      </c>
      <c r="O170" t="n">
        <v>388.32</v>
      </c>
      <c r="P170" t="n">
        <v>821.04</v>
      </c>
      <c r="Q170" t="n">
        <v>67.89</v>
      </c>
      <c r="R170" t="inlineStr">
        <is>
          <t>Cash</t>
        </is>
      </c>
      <c r="S170" t="inlineStr">
        <is>
          <t>Returning</t>
        </is>
      </c>
    </row>
    <row r="171">
      <c r="A171" t="inlineStr">
        <is>
          <t>T100171</t>
        </is>
      </c>
      <c r="B171" s="10" t="n">
        <v>45323</v>
      </c>
      <c r="C171" t="inlineStr">
        <is>
          <t>S001</t>
        </is>
      </c>
      <c r="D171" t="inlineStr">
        <is>
          <t>Miami Design District</t>
        </is>
      </c>
      <c r="E171" t="inlineStr">
        <is>
          <t>Gabriel Samra</t>
        </is>
      </c>
      <c r="F171" t="inlineStr">
        <is>
          <t>GS002</t>
        </is>
      </c>
      <c r="G171" t="inlineStr">
        <is>
          <t>Hydration Shampoo</t>
        </is>
      </c>
      <c r="H171" t="inlineStr">
        <is>
          <t>Hair Care</t>
        </is>
      </c>
      <c r="I171" t="inlineStr">
        <is>
          <t>Emma</t>
        </is>
      </c>
      <c r="J171" t="n">
        <v>30</v>
      </c>
      <c r="K171" t="n">
        <v>30.2</v>
      </c>
      <c r="L171" t="n">
        <v>70.87</v>
      </c>
      <c r="M171" t="n">
        <v>10</v>
      </c>
      <c r="N171" t="n">
        <v>2126.1</v>
      </c>
      <c r="O171" t="n">
        <v>906</v>
      </c>
      <c r="P171" t="n">
        <v>1220.1</v>
      </c>
      <c r="Q171" t="n">
        <v>57.39</v>
      </c>
      <c r="R171" t="inlineStr">
        <is>
          <t>Apple Pay</t>
        </is>
      </c>
      <c r="S171" t="inlineStr">
        <is>
          <t>New</t>
        </is>
      </c>
    </row>
    <row r="172">
      <c r="A172" t="inlineStr">
        <is>
          <t>T100172</t>
        </is>
      </c>
      <c r="B172" s="10" t="n">
        <v>45352</v>
      </c>
      <c r="C172" t="inlineStr">
        <is>
          <t>S001</t>
        </is>
      </c>
      <c r="D172" t="inlineStr">
        <is>
          <t>Miami Design District</t>
        </is>
      </c>
      <c r="E172" t="inlineStr">
        <is>
          <t>Gabriel Samra</t>
        </is>
      </c>
      <c r="F172" t="inlineStr">
        <is>
          <t>GS002</t>
        </is>
      </c>
      <c r="G172" t="inlineStr">
        <is>
          <t>Hydration Shampoo</t>
        </is>
      </c>
      <c r="H172" t="inlineStr">
        <is>
          <t>Hair Care</t>
        </is>
      </c>
      <c r="I172" t="inlineStr">
        <is>
          <t>Daniel</t>
        </is>
      </c>
      <c r="J172" t="n">
        <v>30</v>
      </c>
      <c r="K172" t="n">
        <v>34.26</v>
      </c>
      <c r="L172" t="n">
        <v>100.54</v>
      </c>
      <c r="M172" t="n">
        <v>0</v>
      </c>
      <c r="N172" t="n">
        <v>3016.2</v>
      </c>
      <c r="O172" t="n">
        <v>1027.8</v>
      </c>
      <c r="P172" t="n">
        <v>1988.4</v>
      </c>
      <c r="Q172" t="n">
        <v>65.92</v>
      </c>
      <c r="R172" t="inlineStr">
        <is>
          <t>Cash</t>
        </is>
      </c>
      <c r="S172" t="inlineStr">
        <is>
          <t>Returning</t>
        </is>
      </c>
    </row>
    <row r="173">
      <c r="A173" t="inlineStr">
        <is>
          <t>T100173</t>
        </is>
      </c>
      <c r="B173" s="10" t="n">
        <v>45383</v>
      </c>
      <c r="C173" t="inlineStr">
        <is>
          <t>S001</t>
        </is>
      </c>
      <c r="D173" t="inlineStr">
        <is>
          <t>Miami Design District</t>
        </is>
      </c>
      <c r="E173" t="inlineStr">
        <is>
          <t>Gabriel Samra</t>
        </is>
      </c>
      <c r="F173" t="inlineStr">
        <is>
          <t>GS002</t>
        </is>
      </c>
      <c r="G173" t="inlineStr">
        <is>
          <t>Hydration Shampoo</t>
        </is>
      </c>
      <c r="H173" t="inlineStr">
        <is>
          <t>Hair Care</t>
        </is>
      </c>
      <c r="I173" t="inlineStr">
        <is>
          <t>Olivia</t>
        </is>
      </c>
      <c r="J173" t="n">
        <v>24</v>
      </c>
      <c r="K173" t="n">
        <v>20.48</v>
      </c>
      <c r="L173" t="n">
        <v>67.8</v>
      </c>
      <c r="M173" t="n">
        <v>5</v>
      </c>
      <c r="N173" t="n">
        <v>1627.2</v>
      </c>
      <c r="O173" t="n">
        <v>491.52</v>
      </c>
      <c r="P173" t="n">
        <v>1135.68</v>
      </c>
      <c r="Q173" t="n">
        <v>69.79000000000001</v>
      </c>
      <c r="R173" t="inlineStr">
        <is>
          <t>Cash</t>
        </is>
      </c>
      <c r="S173" t="inlineStr">
        <is>
          <t>New</t>
        </is>
      </c>
    </row>
    <row r="174">
      <c r="A174" t="inlineStr">
        <is>
          <t>T100174</t>
        </is>
      </c>
      <c r="B174" s="10" t="n">
        <v>45413</v>
      </c>
      <c r="C174" t="inlineStr">
        <is>
          <t>S001</t>
        </is>
      </c>
      <c r="D174" t="inlineStr">
        <is>
          <t>Miami Design District</t>
        </is>
      </c>
      <c r="E174" t="inlineStr">
        <is>
          <t>Gabriel Samra</t>
        </is>
      </c>
      <c r="F174" t="inlineStr">
        <is>
          <t>GS002</t>
        </is>
      </c>
      <c r="G174" t="inlineStr">
        <is>
          <t>Hydration Shampoo</t>
        </is>
      </c>
      <c r="H174" t="inlineStr">
        <is>
          <t>Hair Care</t>
        </is>
      </c>
      <c r="I174" t="inlineStr">
        <is>
          <t>Lucas</t>
        </is>
      </c>
      <c r="J174" t="n">
        <v>30</v>
      </c>
      <c r="K174" t="n">
        <v>15.83</v>
      </c>
      <c r="L174" t="n">
        <v>44.84</v>
      </c>
      <c r="M174" t="n">
        <v>0</v>
      </c>
      <c r="N174" t="n">
        <v>1345.2</v>
      </c>
      <c r="O174" t="n">
        <v>474.9</v>
      </c>
      <c r="P174" t="n">
        <v>870.3</v>
      </c>
      <c r="Q174" t="n">
        <v>64.7</v>
      </c>
      <c r="R174" t="inlineStr">
        <is>
          <t>Apple Pay</t>
        </is>
      </c>
      <c r="S174" t="inlineStr">
        <is>
          <t>Returning</t>
        </is>
      </c>
    </row>
    <row r="175">
      <c r="A175" t="inlineStr">
        <is>
          <t>T100175</t>
        </is>
      </c>
      <c r="B175" s="10" t="n">
        <v>45444</v>
      </c>
      <c r="C175" t="inlineStr">
        <is>
          <t>S001</t>
        </is>
      </c>
      <c r="D175" t="inlineStr">
        <is>
          <t>Miami Design District</t>
        </is>
      </c>
      <c r="E175" t="inlineStr">
        <is>
          <t>Gabriel Samra</t>
        </is>
      </c>
      <c r="F175" t="inlineStr">
        <is>
          <t>GS002</t>
        </is>
      </c>
      <c r="G175" t="inlineStr">
        <is>
          <t>Hydration Shampoo</t>
        </is>
      </c>
      <c r="H175" t="inlineStr">
        <is>
          <t>Hair Care</t>
        </is>
      </c>
      <c r="I175" t="inlineStr">
        <is>
          <t>Lucas</t>
        </is>
      </c>
      <c r="J175" t="n">
        <v>35</v>
      </c>
      <c r="K175" t="n">
        <v>30.43</v>
      </c>
      <c r="L175" t="n">
        <v>87.09</v>
      </c>
      <c r="M175" t="n">
        <v>5</v>
      </c>
      <c r="N175" t="n">
        <v>3048.15</v>
      </c>
      <c r="O175" t="n">
        <v>1065.05</v>
      </c>
      <c r="P175" t="n">
        <v>1983.1</v>
      </c>
      <c r="Q175" t="n">
        <v>65.06</v>
      </c>
      <c r="R175" t="inlineStr">
        <is>
          <t>Credit Card</t>
        </is>
      </c>
      <c r="S175" t="inlineStr">
        <is>
          <t>New</t>
        </is>
      </c>
    </row>
    <row r="176">
      <c r="A176" t="inlineStr">
        <is>
          <t>T100176</t>
        </is>
      </c>
      <c r="B176" s="10" t="n">
        <v>45474</v>
      </c>
      <c r="C176" t="inlineStr">
        <is>
          <t>S001</t>
        </is>
      </c>
      <c r="D176" t="inlineStr">
        <is>
          <t>Miami Design District</t>
        </is>
      </c>
      <c r="E176" t="inlineStr">
        <is>
          <t>Gabriel Samra</t>
        </is>
      </c>
      <c r="F176" t="inlineStr">
        <is>
          <t>GS002</t>
        </is>
      </c>
      <c r="G176" t="inlineStr">
        <is>
          <t>Hydration Shampoo</t>
        </is>
      </c>
      <c r="H176" t="inlineStr">
        <is>
          <t>Hair Care</t>
        </is>
      </c>
      <c r="I176" t="inlineStr">
        <is>
          <t>Olivia</t>
        </is>
      </c>
      <c r="J176" t="n">
        <v>32</v>
      </c>
      <c r="K176" t="n">
        <v>31.58</v>
      </c>
      <c r="L176" t="n">
        <v>97.61</v>
      </c>
      <c r="M176" t="n">
        <v>0</v>
      </c>
      <c r="N176" t="n">
        <v>3123.52</v>
      </c>
      <c r="O176" t="n">
        <v>1010.56</v>
      </c>
      <c r="P176" t="n">
        <v>2112.96</v>
      </c>
      <c r="Q176" t="n">
        <v>67.65000000000001</v>
      </c>
      <c r="R176" t="inlineStr">
        <is>
          <t>Apple Pay</t>
        </is>
      </c>
      <c r="S176" t="inlineStr">
        <is>
          <t>New</t>
        </is>
      </c>
    </row>
    <row r="177">
      <c r="A177" t="inlineStr">
        <is>
          <t>T100177</t>
        </is>
      </c>
      <c r="B177" s="10" t="n">
        <v>45505</v>
      </c>
      <c r="C177" t="inlineStr">
        <is>
          <t>S001</t>
        </is>
      </c>
      <c r="D177" t="inlineStr">
        <is>
          <t>Miami Design District</t>
        </is>
      </c>
      <c r="E177" t="inlineStr">
        <is>
          <t>Gabriel Samra</t>
        </is>
      </c>
      <c r="F177" t="inlineStr">
        <is>
          <t>GS002</t>
        </is>
      </c>
      <c r="G177" t="inlineStr">
        <is>
          <t>Hydration Shampoo</t>
        </is>
      </c>
      <c r="H177" t="inlineStr">
        <is>
          <t>Hair Care</t>
        </is>
      </c>
      <c r="I177" t="inlineStr">
        <is>
          <t>Sophia</t>
        </is>
      </c>
      <c r="J177" t="n">
        <v>28</v>
      </c>
      <c r="K177" t="n">
        <v>26.01</v>
      </c>
      <c r="L177" t="n">
        <v>87.40000000000001</v>
      </c>
      <c r="M177" t="n">
        <v>0</v>
      </c>
      <c r="N177" t="n">
        <v>2447.2</v>
      </c>
      <c r="O177" t="n">
        <v>728.28</v>
      </c>
      <c r="P177" t="n">
        <v>1718.92</v>
      </c>
      <c r="Q177" t="n">
        <v>70.23999999999999</v>
      </c>
      <c r="R177" t="inlineStr">
        <is>
          <t>Credit Card</t>
        </is>
      </c>
      <c r="S177" t="inlineStr">
        <is>
          <t>New</t>
        </is>
      </c>
    </row>
    <row r="178">
      <c r="A178" t="inlineStr">
        <is>
          <t>T100178</t>
        </is>
      </c>
      <c r="B178" s="10" t="n">
        <v>45536</v>
      </c>
      <c r="C178" t="inlineStr">
        <is>
          <t>S001</t>
        </is>
      </c>
      <c r="D178" t="inlineStr">
        <is>
          <t>Miami Design District</t>
        </is>
      </c>
      <c r="E178" t="inlineStr">
        <is>
          <t>Gabriel Samra</t>
        </is>
      </c>
      <c r="F178" t="inlineStr">
        <is>
          <t>GS002</t>
        </is>
      </c>
      <c r="G178" t="inlineStr">
        <is>
          <t>Hydration Shampoo</t>
        </is>
      </c>
      <c r="H178" t="inlineStr">
        <is>
          <t>Hair Care</t>
        </is>
      </c>
      <c r="I178" t="inlineStr">
        <is>
          <t>Lucas</t>
        </is>
      </c>
      <c r="J178" t="n">
        <v>32</v>
      </c>
      <c r="K178" t="n">
        <v>24.32</v>
      </c>
      <c r="L178" t="n">
        <v>71.62</v>
      </c>
      <c r="M178" t="n">
        <v>10</v>
      </c>
      <c r="N178" t="n">
        <v>2291.84</v>
      </c>
      <c r="O178" t="n">
        <v>778.24</v>
      </c>
      <c r="P178" t="n">
        <v>1513.6</v>
      </c>
      <c r="Q178" t="n">
        <v>66.04000000000001</v>
      </c>
      <c r="R178" t="inlineStr">
        <is>
          <t>Apple Pay</t>
        </is>
      </c>
      <c r="S178" t="inlineStr">
        <is>
          <t>New</t>
        </is>
      </c>
    </row>
    <row r="179">
      <c r="A179" t="inlineStr">
        <is>
          <t>T100179</t>
        </is>
      </c>
      <c r="B179" s="10" t="n">
        <v>45566</v>
      </c>
      <c r="C179" t="inlineStr">
        <is>
          <t>S001</t>
        </is>
      </c>
      <c r="D179" t="inlineStr">
        <is>
          <t>Miami Design District</t>
        </is>
      </c>
      <c r="E179" t="inlineStr">
        <is>
          <t>Gabriel Samra</t>
        </is>
      </c>
      <c r="F179" t="inlineStr">
        <is>
          <t>GS002</t>
        </is>
      </c>
      <c r="G179" t="inlineStr">
        <is>
          <t>Hydration Shampoo</t>
        </is>
      </c>
      <c r="H179" t="inlineStr">
        <is>
          <t>Hair Care</t>
        </is>
      </c>
      <c r="I179" t="inlineStr">
        <is>
          <t>Olivia</t>
        </is>
      </c>
      <c r="J179" t="n">
        <v>29</v>
      </c>
      <c r="K179" t="n">
        <v>18.5</v>
      </c>
      <c r="L179" t="n">
        <v>46.7</v>
      </c>
      <c r="M179" t="n">
        <v>0</v>
      </c>
      <c r="N179" t="n">
        <v>1354.3</v>
      </c>
      <c r="O179" t="n">
        <v>536.5</v>
      </c>
      <c r="P179" t="n">
        <v>817.8</v>
      </c>
      <c r="Q179" t="n">
        <v>60.39</v>
      </c>
      <c r="R179" t="inlineStr">
        <is>
          <t>Cash</t>
        </is>
      </c>
      <c r="S179" t="inlineStr">
        <is>
          <t>Returning</t>
        </is>
      </c>
    </row>
    <row r="180">
      <c r="A180" t="inlineStr">
        <is>
          <t>T100180</t>
        </is>
      </c>
      <c r="B180" s="10" t="n">
        <v>45597</v>
      </c>
      <c r="C180" t="inlineStr">
        <is>
          <t>S001</t>
        </is>
      </c>
      <c r="D180" t="inlineStr">
        <is>
          <t>Miami Design District</t>
        </is>
      </c>
      <c r="E180" t="inlineStr">
        <is>
          <t>Gabriel Samra</t>
        </is>
      </c>
      <c r="F180" t="inlineStr">
        <is>
          <t>GS002</t>
        </is>
      </c>
      <c r="G180" t="inlineStr">
        <is>
          <t>Hydration Shampoo</t>
        </is>
      </c>
      <c r="H180" t="inlineStr">
        <is>
          <t>Hair Care</t>
        </is>
      </c>
      <c r="I180" t="inlineStr">
        <is>
          <t>Sophia</t>
        </is>
      </c>
      <c r="J180" t="n">
        <v>42</v>
      </c>
      <c r="K180" t="n">
        <v>12.92</v>
      </c>
      <c r="L180" t="n">
        <v>37.32</v>
      </c>
      <c r="M180" t="n">
        <v>0</v>
      </c>
      <c r="N180" t="n">
        <v>1567.44</v>
      </c>
      <c r="O180" t="n">
        <v>542.64</v>
      </c>
      <c r="P180" t="n">
        <v>1024.8</v>
      </c>
      <c r="Q180" t="n">
        <v>65.38</v>
      </c>
      <c r="R180" t="inlineStr">
        <is>
          <t>Credit Card</t>
        </is>
      </c>
      <c r="S180" t="inlineStr">
        <is>
          <t>Returning</t>
        </is>
      </c>
    </row>
    <row r="181">
      <c r="A181" t="inlineStr">
        <is>
          <t>T100181</t>
        </is>
      </c>
      <c r="B181" s="10" t="n">
        <v>45627</v>
      </c>
      <c r="C181" t="inlineStr">
        <is>
          <t>S001</t>
        </is>
      </c>
      <c r="D181" t="inlineStr">
        <is>
          <t>Miami Design District</t>
        </is>
      </c>
      <c r="E181" t="inlineStr">
        <is>
          <t>Gabriel Samra</t>
        </is>
      </c>
      <c r="F181" t="inlineStr">
        <is>
          <t>GS002</t>
        </is>
      </c>
      <c r="G181" t="inlineStr">
        <is>
          <t>Hydration Shampoo</t>
        </is>
      </c>
      <c r="H181" t="inlineStr">
        <is>
          <t>Hair Care</t>
        </is>
      </c>
      <c r="I181" t="inlineStr">
        <is>
          <t>Emma</t>
        </is>
      </c>
      <c r="J181" t="n">
        <v>39</v>
      </c>
      <c r="K181" t="n">
        <v>28.93</v>
      </c>
      <c r="L181" t="n">
        <v>59.68</v>
      </c>
      <c r="M181" t="n">
        <v>0</v>
      </c>
      <c r="N181" t="n">
        <v>2327.52</v>
      </c>
      <c r="O181" t="n">
        <v>1128.27</v>
      </c>
      <c r="P181" t="n">
        <v>1199.25</v>
      </c>
      <c r="Q181" t="n">
        <v>51.52</v>
      </c>
      <c r="R181" t="inlineStr">
        <is>
          <t>Cash</t>
        </is>
      </c>
      <c r="S181" t="inlineStr">
        <is>
          <t>Returning</t>
        </is>
      </c>
    </row>
    <row r="182">
      <c r="A182" t="inlineStr">
        <is>
          <t>T100182</t>
        </is>
      </c>
      <c r="B182" s="10" t="n">
        <v>45658</v>
      </c>
      <c r="C182" t="inlineStr">
        <is>
          <t>S001</t>
        </is>
      </c>
      <c r="D182" t="inlineStr">
        <is>
          <t>Miami Design District</t>
        </is>
      </c>
      <c r="E182" t="inlineStr">
        <is>
          <t>Gabriel Samra</t>
        </is>
      </c>
      <c r="F182" t="inlineStr">
        <is>
          <t>GS002</t>
        </is>
      </c>
      <c r="G182" t="inlineStr">
        <is>
          <t>Hydration Shampoo</t>
        </is>
      </c>
      <c r="H182" t="inlineStr">
        <is>
          <t>Hair Care</t>
        </is>
      </c>
      <c r="I182" t="inlineStr">
        <is>
          <t>Emma</t>
        </is>
      </c>
      <c r="J182" t="n">
        <v>34</v>
      </c>
      <c r="K182" t="n">
        <v>27.33</v>
      </c>
      <c r="L182" t="n">
        <v>90.45999999999999</v>
      </c>
      <c r="M182" t="n">
        <v>5</v>
      </c>
      <c r="N182" t="n">
        <v>3075.64</v>
      </c>
      <c r="O182" t="n">
        <v>929.22</v>
      </c>
      <c r="P182" t="n">
        <v>2146.42</v>
      </c>
      <c r="Q182" t="n">
        <v>69.79000000000001</v>
      </c>
      <c r="R182" t="inlineStr">
        <is>
          <t>Credit Card</t>
        </is>
      </c>
      <c r="S182" t="inlineStr">
        <is>
          <t>New</t>
        </is>
      </c>
    </row>
    <row r="183">
      <c r="A183" t="inlineStr">
        <is>
          <t>T100183</t>
        </is>
      </c>
      <c r="B183" s="10" t="n">
        <v>45689</v>
      </c>
      <c r="C183" t="inlineStr">
        <is>
          <t>S001</t>
        </is>
      </c>
      <c r="D183" t="inlineStr">
        <is>
          <t>Miami Design District</t>
        </is>
      </c>
      <c r="E183" t="inlineStr">
        <is>
          <t>Gabriel Samra</t>
        </is>
      </c>
      <c r="F183" t="inlineStr">
        <is>
          <t>GS002</t>
        </is>
      </c>
      <c r="G183" t="inlineStr">
        <is>
          <t>Hydration Shampoo</t>
        </is>
      </c>
      <c r="H183" t="inlineStr">
        <is>
          <t>Hair Care</t>
        </is>
      </c>
      <c r="I183" t="inlineStr">
        <is>
          <t>Daniel</t>
        </is>
      </c>
      <c r="J183" t="n">
        <v>35</v>
      </c>
      <c r="K183" t="n">
        <v>28.46</v>
      </c>
      <c r="L183" t="n">
        <v>68.79000000000001</v>
      </c>
      <c r="M183" t="n">
        <v>0</v>
      </c>
      <c r="N183" t="n">
        <v>2407.65</v>
      </c>
      <c r="O183" t="n">
        <v>996.1</v>
      </c>
      <c r="P183" t="n">
        <v>1411.55</v>
      </c>
      <c r="Q183" t="n">
        <v>58.63</v>
      </c>
      <c r="R183" t="inlineStr">
        <is>
          <t>Apple Pay</t>
        </is>
      </c>
      <c r="S183" t="inlineStr">
        <is>
          <t>New</t>
        </is>
      </c>
    </row>
    <row r="184">
      <c r="A184" t="inlineStr">
        <is>
          <t>T100184</t>
        </is>
      </c>
      <c r="B184" s="10" t="n">
        <v>45717</v>
      </c>
      <c r="C184" t="inlineStr">
        <is>
          <t>S001</t>
        </is>
      </c>
      <c r="D184" t="inlineStr">
        <is>
          <t>Miami Design District</t>
        </is>
      </c>
      <c r="E184" t="inlineStr">
        <is>
          <t>Gabriel Samra</t>
        </is>
      </c>
      <c r="F184" t="inlineStr">
        <is>
          <t>GS002</t>
        </is>
      </c>
      <c r="G184" t="inlineStr">
        <is>
          <t>Hydration Shampoo</t>
        </is>
      </c>
      <c r="H184" t="inlineStr">
        <is>
          <t>Hair Care</t>
        </is>
      </c>
      <c r="I184" t="inlineStr">
        <is>
          <t>Emma</t>
        </is>
      </c>
      <c r="J184" t="n">
        <v>39</v>
      </c>
      <c r="K184" t="n">
        <v>32.81</v>
      </c>
      <c r="L184" t="n">
        <v>77.02</v>
      </c>
      <c r="M184" t="n">
        <v>10</v>
      </c>
      <c r="N184" t="n">
        <v>3003.78</v>
      </c>
      <c r="O184" t="n">
        <v>1279.59</v>
      </c>
      <c r="P184" t="n">
        <v>1724.19</v>
      </c>
      <c r="Q184" t="n">
        <v>57.4</v>
      </c>
      <c r="R184" t="inlineStr">
        <is>
          <t>Apple Pay</t>
        </is>
      </c>
      <c r="S184" t="inlineStr">
        <is>
          <t>New</t>
        </is>
      </c>
    </row>
    <row r="185">
      <c r="A185" t="inlineStr">
        <is>
          <t>T100185</t>
        </is>
      </c>
      <c r="B185" s="10" t="n">
        <v>45748</v>
      </c>
      <c r="C185" t="inlineStr">
        <is>
          <t>S001</t>
        </is>
      </c>
      <c r="D185" t="inlineStr">
        <is>
          <t>Miami Design District</t>
        </is>
      </c>
      <c r="E185" t="inlineStr">
        <is>
          <t>Gabriel Samra</t>
        </is>
      </c>
      <c r="F185" t="inlineStr">
        <is>
          <t>GS002</t>
        </is>
      </c>
      <c r="G185" t="inlineStr">
        <is>
          <t>Hydration Shampoo</t>
        </is>
      </c>
      <c r="H185" t="inlineStr">
        <is>
          <t>Hair Care</t>
        </is>
      </c>
      <c r="I185" t="inlineStr">
        <is>
          <t>Emma</t>
        </is>
      </c>
      <c r="J185" t="n">
        <v>33</v>
      </c>
      <c r="K185" t="n">
        <v>22.15</v>
      </c>
      <c r="L185" t="n">
        <v>63.7</v>
      </c>
      <c r="M185" t="n">
        <v>5</v>
      </c>
      <c r="N185" t="n">
        <v>2102.1</v>
      </c>
      <c r="O185" t="n">
        <v>730.95</v>
      </c>
      <c r="P185" t="n">
        <v>1371.15</v>
      </c>
      <c r="Q185" t="n">
        <v>65.23</v>
      </c>
      <c r="R185" t="inlineStr">
        <is>
          <t>Apple Pay</t>
        </is>
      </c>
      <c r="S185" t="inlineStr">
        <is>
          <t>New</t>
        </is>
      </c>
    </row>
    <row r="186">
      <c r="A186" t="inlineStr">
        <is>
          <t>T100186</t>
        </is>
      </c>
      <c r="B186" s="10" t="n">
        <v>45778</v>
      </c>
      <c r="C186" t="inlineStr">
        <is>
          <t>S001</t>
        </is>
      </c>
      <c r="D186" t="inlineStr">
        <is>
          <t>Miami Design District</t>
        </is>
      </c>
      <c r="E186" t="inlineStr">
        <is>
          <t>Gabriel Samra</t>
        </is>
      </c>
      <c r="F186" t="inlineStr">
        <is>
          <t>GS002</t>
        </is>
      </c>
      <c r="G186" t="inlineStr">
        <is>
          <t>Hydration Shampoo</t>
        </is>
      </c>
      <c r="H186" t="inlineStr">
        <is>
          <t>Hair Care</t>
        </is>
      </c>
      <c r="I186" t="inlineStr">
        <is>
          <t>Emma</t>
        </is>
      </c>
      <c r="J186" t="n">
        <v>31</v>
      </c>
      <c r="K186" t="n">
        <v>30.2</v>
      </c>
      <c r="L186" t="n">
        <v>87.95999999999999</v>
      </c>
      <c r="M186" t="n">
        <v>0</v>
      </c>
      <c r="N186" t="n">
        <v>2726.76</v>
      </c>
      <c r="O186" t="n">
        <v>936.2</v>
      </c>
      <c r="P186" t="n">
        <v>1790.56</v>
      </c>
      <c r="Q186" t="n">
        <v>65.67</v>
      </c>
      <c r="R186" t="inlineStr">
        <is>
          <t>Credit Card</t>
        </is>
      </c>
      <c r="S186" t="inlineStr">
        <is>
          <t>New</t>
        </is>
      </c>
    </row>
    <row r="187">
      <c r="A187" t="inlineStr">
        <is>
          <t>T100187</t>
        </is>
      </c>
      <c r="B187" s="10" t="n">
        <v>45809</v>
      </c>
      <c r="C187" t="inlineStr">
        <is>
          <t>S001</t>
        </is>
      </c>
      <c r="D187" t="inlineStr">
        <is>
          <t>Miami Design District</t>
        </is>
      </c>
      <c r="E187" t="inlineStr">
        <is>
          <t>Gabriel Samra</t>
        </is>
      </c>
      <c r="F187" t="inlineStr">
        <is>
          <t>GS002</t>
        </is>
      </c>
      <c r="G187" t="inlineStr">
        <is>
          <t>Hydration Shampoo</t>
        </is>
      </c>
      <c r="H187" t="inlineStr">
        <is>
          <t>Hair Care</t>
        </is>
      </c>
      <c r="I187" t="inlineStr">
        <is>
          <t>Daniel</t>
        </is>
      </c>
      <c r="J187" t="n">
        <v>42</v>
      </c>
      <c r="K187" t="n">
        <v>21.26</v>
      </c>
      <c r="L187" t="n">
        <v>63.86</v>
      </c>
      <c r="M187" t="n">
        <v>10</v>
      </c>
      <c r="N187" t="n">
        <v>2682.12</v>
      </c>
      <c r="O187" t="n">
        <v>892.92</v>
      </c>
      <c r="P187" t="n">
        <v>1789.2</v>
      </c>
      <c r="Q187" t="n">
        <v>66.70999999999999</v>
      </c>
      <c r="R187" t="inlineStr">
        <is>
          <t>Cash</t>
        </is>
      </c>
      <c r="S187" t="inlineStr">
        <is>
          <t>Returning</t>
        </is>
      </c>
    </row>
    <row r="188">
      <c r="A188" t="inlineStr">
        <is>
          <t>T100188</t>
        </is>
      </c>
      <c r="B188" s="10" t="n">
        <v>45292</v>
      </c>
      <c r="C188" t="inlineStr">
        <is>
          <t>S001</t>
        </is>
      </c>
      <c r="D188" t="inlineStr">
        <is>
          <t>Miami Design District</t>
        </is>
      </c>
      <c r="E188" t="inlineStr">
        <is>
          <t>Gabriel Samra</t>
        </is>
      </c>
      <c r="F188" t="inlineStr">
        <is>
          <t>GS003</t>
        </is>
      </c>
      <c r="G188" t="inlineStr">
        <is>
          <t>Repair Mask</t>
        </is>
      </c>
      <c r="H188" t="inlineStr">
        <is>
          <t>Hair Care</t>
        </is>
      </c>
      <c r="I188" t="inlineStr">
        <is>
          <t>Emma</t>
        </is>
      </c>
      <c r="J188" t="n">
        <v>89</v>
      </c>
      <c r="K188" t="n">
        <v>16.64</v>
      </c>
      <c r="L188" t="n">
        <v>48.7</v>
      </c>
      <c r="M188" t="n">
        <v>0</v>
      </c>
      <c r="N188" t="n">
        <v>4334.3</v>
      </c>
      <c r="O188" t="n">
        <v>1480.96</v>
      </c>
      <c r="P188" t="n">
        <v>2853.34</v>
      </c>
      <c r="Q188" t="n">
        <v>65.83</v>
      </c>
      <c r="R188" t="inlineStr">
        <is>
          <t>Apple Pay</t>
        </is>
      </c>
      <c r="S188" t="inlineStr">
        <is>
          <t>Returning</t>
        </is>
      </c>
    </row>
    <row r="189">
      <c r="A189" t="inlineStr">
        <is>
          <t>T100189</t>
        </is>
      </c>
      <c r="B189" s="10" t="n">
        <v>45323</v>
      </c>
      <c r="C189" t="inlineStr">
        <is>
          <t>S001</t>
        </is>
      </c>
      <c r="D189" t="inlineStr">
        <is>
          <t>Miami Design District</t>
        </is>
      </c>
      <c r="E189" t="inlineStr">
        <is>
          <t>Gabriel Samra</t>
        </is>
      </c>
      <c r="F189" t="inlineStr">
        <is>
          <t>GS003</t>
        </is>
      </c>
      <c r="G189" t="inlineStr">
        <is>
          <t>Repair Mask</t>
        </is>
      </c>
      <c r="H189" t="inlineStr">
        <is>
          <t>Hair Care</t>
        </is>
      </c>
      <c r="I189" t="inlineStr">
        <is>
          <t>Daniel</t>
        </is>
      </c>
      <c r="J189" t="n">
        <v>84</v>
      </c>
      <c r="K189" t="n">
        <v>33.75</v>
      </c>
      <c r="L189" t="n">
        <v>113.66</v>
      </c>
      <c r="M189" t="n">
        <v>0</v>
      </c>
      <c r="N189" t="n">
        <v>9547.440000000001</v>
      </c>
      <c r="O189" t="n">
        <v>2835</v>
      </c>
      <c r="P189" t="n">
        <v>6712.44</v>
      </c>
      <c r="Q189" t="n">
        <v>70.31</v>
      </c>
      <c r="R189" t="inlineStr">
        <is>
          <t>Cash</t>
        </is>
      </c>
      <c r="S189" t="inlineStr">
        <is>
          <t>New</t>
        </is>
      </c>
    </row>
    <row r="190">
      <c r="A190" t="inlineStr">
        <is>
          <t>T100190</t>
        </is>
      </c>
      <c r="B190" s="10" t="n">
        <v>45352</v>
      </c>
      <c r="C190" t="inlineStr">
        <is>
          <t>S001</t>
        </is>
      </c>
      <c r="D190" t="inlineStr">
        <is>
          <t>Miami Design District</t>
        </is>
      </c>
      <c r="E190" t="inlineStr">
        <is>
          <t>Gabriel Samra</t>
        </is>
      </c>
      <c r="F190" t="inlineStr">
        <is>
          <t>GS003</t>
        </is>
      </c>
      <c r="G190" t="inlineStr">
        <is>
          <t>Repair Mask</t>
        </is>
      </c>
      <c r="H190" t="inlineStr">
        <is>
          <t>Hair Care</t>
        </is>
      </c>
      <c r="I190" t="inlineStr">
        <is>
          <t>Emma</t>
        </is>
      </c>
      <c r="J190" t="n">
        <v>83</v>
      </c>
      <c r="K190" t="n">
        <v>18.86</v>
      </c>
      <c r="L190" t="n">
        <v>66</v>
      </c>
      <c r="M190" t="n">
        <v>0</v>
      </c>
      <c r="N190" t="n">
        <v>5478</v>
      </c>
      <c r="O190" t="n">
        <v>1565.38</v>
      </c>
      <c r="P190" t="n">
        <v>3912.62</v>
      </c>
      <c r="Q190" t="n">
        <v>71.42</v>
      </c>
      <c r="R190" t="inlineStr">
        <is>
          <t>Cash</t>
        </is>
      </c>
      <c r="S190" t="inlineStr">
        <is>
          <t>New</t>
        </is>
      </c>
    </row>
    <row r="191">
      <c r="A191" t="inlineStr">
        <is>
          <t>T100191</t>
        </is>
      </c>
      <c r="B191" s="10" t="n">
        <v>45383</v>
      </c>
      <c r="C191" t="inlineStr">
        <is>
          <t>S001</t>
        </is>
      </c>
      <c r="D191" t="inlineStr">
        <is>
          <t>Miami Design District</t>
        </is>
      </c>
      <c r="E191" t="inlineStr">
        <is>
          <t>Gabriel Samra</t>
        </is>
      </c>
      <c r="F191" t="inlineStr">
        <is>
          <t>GS003</t>
        </is>
      </c>
      <c r="G191" t="inlineStr">
        <is>
          <t>Repair Mask</t>
        </is>
      </c>
      <c r="H191" t="inlineStr">
        <is>
          <t>Hair Care</t>
        </is>
      </c>
      <c r="I191" t="inlineStr">
        <is>
          <t>Sophia</t>
        </is>
      </c>
      <c r="J191" t="n">
        <v>85</v>
      </c>
      <c r="K191" t="n">
        <v>27.89</v>
      </c>
      <c r="L191" t="n">
        <v>67.79000000000001</v>
      </c>
      <c r="M191" t="n">
        <v>0</v>
      </c>
      <c r="N191" t="n">
        <v>5762.15</v>
      </c>
      <c r="O191" t="n">
        <v>2370.65</v>
      </c>
      <c r="P191" t="n">
        <v>3391.5</v>
      </c>
      <c r="Q191" t="n">
        <v>58.86</v>
      </c>
      <c r="R191" t="inlineStr">
        <is>
          <t>Cash</t>
        </is>
      </c>
      <c r="S191" t="inlineStr">
        <is>
          <t>New</t>
        </is>
      </c>
    </row>
    <row r="192">
      <c r="A192" t="inlineStr">
        <is>
          <t>T100192</t>
        </is>
      </c>
      <c r="B192" s="10" t="n">
        <v>45413</v>
      </c>
      <c r="C192" t="inlineStr">
        <is>
          <t>S001</t>
        </is>
      </c>
      <c r="D192" t="inlineStr">
        <is>
          <t>Miami Design District</t>
        </is>
      </c>
      <c r="E192" t="inlineStr">
        <is>
          <t>Gabriel Samra</t>
        </is>
      </c>
      <c r="F192" t="inlineStr">
        <is>
          <t>GS003</t>
        </is>
      </c>
      <c r="G192" t="inlineStr">
        <is>
          <t>Repair Mask</t>
        </is>
      </c>
      <c r="H192" t="inlineStr">
        <is>
          <t>Hair Care</t>
        </is>
      </c>
      <c r="I192" t="inlineStr">
        <is>
          <t>Sophia</t>
        </is>
      </c>
      <c r="J192" t="n">
        <v>79</v>
      </c>
      <c r="K192" t="n">
        <v>17.71</v>
      </c>
      <c r="L192" t="n">
        <v>43.41</v>
      </c>
      <c r="M192" t="n">
        <v>0</v>
      </c>
      <c r="N192" t="n">
        <v>3429.39</v>
      </c>
      <c r="O192" t="n">
        <v>1399.09</v>
      </c>
      <c r="P192" t="n">
        <v>2030.3</v>
      </c>
      <c r="Q192" t="n">
        <v>59.2</v>
      </c>
      <c r="R192" t="inlineStr">
        <is>
          <t>Cash</t>
        </is>
      </c>
      <c r="S192" t="inlineStr">
        <is>
          <t>New</t>
        </is>
      </c>
    </row>
    <row r="193">
      <c r="A193" t="inlineStr">
        <is>
          <t>T100193</t>
        </is>
      </c>
      <c r="B193" s="10" t="n">
        <v>45444</v>
      </c>
      <c r="C193" t="inlineStr">
        <is>
          <t>S001</t>
        </is>
      </c>
      <c r="D193" t="inlineStr">
        <is>
          <t>Miami Design District</t>
        </is>
      </c>
      <c r="E193" t="inlineStr">
        <is>
          <t>Gabriel Samra</t>
        </is>
      </c>
      <c r="F193" t="inlineStr">
        <is>
          <t>GS003</t>
        </is>
      </c>
      <c r="G193" t="inlineStr">
        <is>
          <t>Repair Mask</t>
        </is>
      </c>
      <c r="H193" t="inlineStr">
        <is>
          <t>Hair Care</t>
        </is>
      </c>
      <c r="I193" t="inlineStr">
        <is>
          <t>Sophia</t>
        </is>
      </c>
      <c r="J193" t="n">
        <v>117</v>
      </c>
      <c r="K193" t="n">
        <v>34.37</v>
      </c>
      <c r="L193" t="n">
        <v>116.62</v>
      </c>
      <c r="M193" t="n">
        <v>0</v>
      </c>
      <c r="N193" t="n">
        <v>13644.54</v>
      </c>
      <c r="O193" t="n">
        <v>4021.29</v>
      </c>
      <c r="P193" t="n">
        <v>9623.25</v>
      </c>
      <c r="Q193" t="n">
        <v>70.53</v>
      </c>
      <c r="R193" t="inlineStr">
        <is>
          <t>Credit Card</t>
        </is>
      </c>
      <c r="S193" t="inlineStr">
        <is>
          <t>Returning</t>
        </is>
      </c>
    </row>
    <row r="194">
      <c r="A194" t="inlineStr">
        <is>
          <t>T100194</t>
        </is>
      </c>
      <c r="B194" s="10" t="n">
        <v>45474</v>
      </c>
      <c r="C194" t="inlineStr">
        <is>
          <t>S001</t>
        </is>
      </c>
      <c r="D194" t="inlineStr">
        <is>
          <t>Miami Design District</t>
        </is>
      </c>
      <c r="E194" t="inlineStr">
        <is>
          <t>Gabriel Samra</t>
        </is>
      </c>
      <c r="F194" t="inlineStr">
        <is>
          <t>GS003</t>
        </is>
      </c>
      <c r="G194" t="inlineStr">
        <is>
          <t>Repair Mask</t>
        </is>
      </c>
      <c r="H194" t="inlineStr">
        <is>
          <t>Hair Care</t>
        </is>
      </c>
      <c r="I194" t="inlineStr">
        <is>
          <t>Daniel</t>
        </is>
      </c>
      <c r="J194" t="n">
        <v>108</v>
      </c>
      <c r="K194" t="n">
        <v>31.31</v>
      </c>
      <c r="L194" t="n">
        <v>74.84999999999999</v>
      </c>
      <c r="M194" t="n">
        <v>5</v>
      </c>
      <c r="N194" t="n">
        <v>8083.8</v>
      </c>
      <c r="O194" t="n">
        <v>3381.48</v>
      </c>
      <c r="P194" t="n">
        <v>4702.32</v>
      </c>
      <c r="Q194" t="n">
        <v>58.17</v>
      </c>
      <c r="R194" t="inlineStr">
        <is>
          <t>Credit Card</t>
        </is>
      </c>
      <c r="S194" t="inlineStr">
        <is>
          <t>Returning</t>
        </is>
      </c>
    </row>
    <row r="195">
      <c r="A195" t="inlineStr">
        <is>
          <t>T100195</t>
        </is>
      </c>
      <c r="B195" s="10" t="n">
        <v>45505</v>
      </c>
      <c r="C195" t="inlineStr">
        <is>
          <t>S001</t>
        </is>
      </c>
      <c r="D195" t="inlineStr">
        <is>
          <t>Miami Design District</t>
        </is>
      </c>
      <c r="E195" t="inlineStr">
        <is>
          <t>Gabriel Samra</t>
        </is>
      </c>
      <c r="F195" t="inlineStr">
        <is>
          <t>GS003</t>
        </is>
      </c>
      <c r="G195" t="inlineStr">
        <is>
          <t>Repair Mask</t>
        </is>
      </c>
      <c r="H195" t="inlineStr">
        <is>
          <t>Hair Care</t>
        </is>
      </c>
      <c r="I195" t="inlineStr">
        <is>
          <t>Lucas</t>
        </is>
      </c>
      <c r="J195" t="n">
        <v>91</v>
      </c>
      <c r="K195" t="n">
        <v>29.5</v>
      </c>
      <c r="L195" t="n">
        <v>68</v>
      </c>
      <c r="M195" t="n">
        <v>0</v>
      </c>
      <c r="N195" t="n">
        <v>6188</v>
      </c>
      <c r="O195" t="n">
        <v>2684.5</v>
      </c>
      <c r="P195" t="n">
        <v>3503.5</v>
      </c>
      <c r="Q195" t="n">
        <v>56.62</v>
      </c>
      <c r="R195" t="inlineStr">
        <is>
          <t>Cash</t>
        </is>
      </c>
      <c r="S195" t="inlineStr">
        <is>
          <t>New</t>
        </is>
      </c>
    </row>
    <row r="196">
      <c r="A196" t="inlineStr">
        <is>
          <t>T100196</t>
        </is>
      </c>
      <c r="B196" s="10" t="n">
        <v>45536</v>
      </c>
      <c r="C196" t="inlineStr">
        <is>
          <t>S001</t>
        </is>
      </c>
      <c r="D196" t="inlineStr">
        <is>
          <t>Miami Design District</t>
        </is>
      </c>
      <c r="E196" t="inlineStr">
        <is>
          <t>Gabriel Samra</t>
        </is>
      </c>
      <c r="F196" t="inlineStr">
        <is>
          <t>GS003</t>
        </is>
      </c>
      <c r="G196" t="inlineStr">
        <is>
          <t>Repair Mask</t>
        </is>
      </c>
      <c r="H196" t="inlineStr">
        <is>
          <t>Hair Care</t>
        </is>
      </c>
      <c r="I196" t="inlineStr">
        <is>
          <t>Sophia</t>
        </is>
      </c>
      <c r="J196" t="n">
        <v>117</v>
      </c>
      <c r="K196" t="n">
        <v>13.91</v>
      </c>
      <c r="L196" t="n">
        <v>40.37</v>
      </c>
      <c r="M196" t="n">
        <v>0</v>
      </c>
      <c r="N196" t="n">
        <v>4723.29</v>
      </c>
      <c r="O196" t="n">
        <v>1627.47</v>
      </c>
      <c r="P196" t="n">
        <v>3095.82</v>
      </c>
      <c r="Q196" t="n">
        <v>65.54000000000001</v>
      </c>
      <c r="R196" t="inlineStr">
        <is>
          <t>Apple Pay</t>
        </is>
      </c>
      <c r="S196" t="inlineStr">
        <is>
          <t>Returning</t>
        </is>
      </c>
    </row>
    <row r="197">
      <c r="A197" t="inlineStr">
        <is>
          <t>T100197</t>
        </is>
      </c>
      <c r="B197" s="10" t="n">
        <v>45566</v>
      </c>
      <c r="C197" t="inlineStr">
        <is>
          <t>S001</t>
        </is>
      </c>
      <c r="D197" t="inlineStr">
        <is>
          <t>Miami Design District</t>
        </is>
      </c>
      <c r="E197" t="inlineStr">
        <is>
          <t>Gabriel Samra</t>
        </is>
      </c>
      <c r="F197" t="inlineStr">
        <is>
          <t>GS003</t>
        </is>
      </c>
      <c r="G197" t="inlineStr">
        <is>
          <t>Repair Mask</t>
        </is>
      </c>
      <c r="H197" t="inlineStr">
        <is>
          <t>Hair Care</t>
        </is>
      </c>
      <c r="I197" t="inlineStr">
        <is>
          <t>Lucas</t>
        </is>
      </c>
      <c r="J197" t="n">
        <v>98</v>
      </c>
      <c r="K197" t="n">
        <v>25.42</v>
      </c>
      <c r="L197" t="n">
        <v>73.84999999999999</v>
      </c>
      <c r="M197" t="n">
        <v>10</v>
      </c>
      <c r="N197" t="n">
        <v>7237.3</v>
      </c>
      <c r="O197" t="n">
        <v>2491.16</v>
      </c>
      <c r="P197" t="n">
        <v>4746.14</v>
      </c>
      <c r="Q197" t="n">
        <v>65.58</v>
      </c>
      <c r="R197" t="inlineStr">
        <is>
          <t>Credit Card</t>
        </is>
      </c>
      <c r="S197" t="inlineStr">
        <is>
          <t>New</t>
        </is>
      </c>
    </row>
    <row r="198">
      <c r="A198" t="inlineStr">
        <is>
          <t>T100198</t>
        </is>
      </c>
      <c r="B198" s="10" t="n">
        <v>45597</v>
      </c>
      <c r="C198" t="inlineStr">
        <is>
          <t>S001</t>
        </is>
      </c>
      <c r="D198" t="inlineStr">
        <is>
          <t>Miami Design District</t>
        </is>
      </c>
      <c r="E198" t="inlineStr">
        <is>
          <t>Gabriel Samra</t>
        </is>
      </c>
      <c r="F198" t="inlineStr">
        <is>
          <t>GS003</t>
        </is>
      </c>
      <c r="G198" t="inlineStr">
        <is>
          <t>Repair Mask</t>
        </is>
      </c>
      <c r="H198" t="inlineStr">
        <is>
          <t>Hair Care</t>
        </is>
      </c>
      <c r="I198" t="inlineStr">
        <is>
          <t>Sophia</t>
        </is>
      </c>
      <c r="J198" t="n">
        <v>144</v>
      </c>
      <c r="K198" t="n">
        <v>29.69</v>
      </c>
      <c r="L198" t="n">
        <v>70.36</v>
      </c>
      <c r="M198" t="n">
        <v>10</v>
      </c>
      <c r="N198" t="n">
        <v>10131.84</v>
      </c>
      <c r="O198" t="n">
        <v>4275.36</v>
      </c>
      <c r="P198" t="n">
        <v>5856.48</v>
      </c>
      <c r="Q198" t="n">
        <v>57.8</v>
      </c>
      <c r="R198" t="inlineStr">
        <is>
          <t>Credit Card</t>
        </is>
      </c>
      <c r="S198" t="inlineStr">
        <is>
          <t>Returning</t>
        </is>
      </c>
    </row>
    <row r="199">
      <c r="A199" t="inlineStr">
        <is>
          <t>T100199</t>
        </is>
      </c>
      <c r="B199" s="10" t="n">
        <v>45627</v>
      </c>
      <c r="C199" t="inlineStr">
        <is>
          <t>S001</t>
        </is>
      </c>
      <c r="D199" t="inlineStr">
        <is>
          <t>Miami Design District</t>
        </is>
      </c>
      <c r="E199" t="inlineStr">
        <is>
          <t>Gabriel Samra</t>
        </is>
      </c>
      <c r="F199" t="inlineStr">
        <is>
          <t>GS003</t>
        </is>
      </c>
      <c r="G199" t="inlineStr">
        <is>
          <t>Repair Mask</t>
        </is>
      </c>
      <c r="H199" t="inlineStr">
        <is>
          <t>Hair Care</t>
        </is>
      </c>
      <c r="I199" t="inlineStr">
        <is>
          <t>Lucas</t>
        </is>
      </c>
      <c r="J199" t="n">
        <v>176</v>
      </c>
      <c r="K199" t="n">
        <v>30.82</v>
      </c>
      <c r="L199" t="n">
        <v>90.44</v>
      </c>
      <c r="M199" t="n">
        <v>5</v>
      </c>
      <c r="N199" t="n">
        <v>15917.44</v>
      </c>
      <c r="O199" t="n">
        <v>5424.32</v>
      </c>
      <c r="P199" t="n">
        <v>10493.12</v>
      </c>
      <c r="Q199" t="n">
        <v>65.92</v>
      </c>
      <c r="R199" t="inlineStr">
        <is>
          <t>Apple Pay</t>
        </is>
      </c>
      <c r="S199" t="inlineStr">
        <is>
          <t>Returning</t>
        </is>
      </c>
    </row>
    <row r="200">
      <c r="A200" t="inlineStr">
        <is>
          <t>T100200</t>
        </is>
      </c>
      <c r="B200" s="10" t="n">
        <v>45658</v>
      </c>
      <c r="C200" t="inlineStr">
        <is>
          <t>S001</t>
        </is>
      </c>
      <c r="D200" t="inlineStr">
        <is>
          <t>Miami Design District</t>
        </is>
      </c>
      <c r="E200" t="inlineStr">
        <is>
          <t>Gabriel Samra</t>
        </is>
      </c>
      <c r="F200" t="inlineStr">
        <is>
          <t>GS003</t>
        </is>
      </c>
      <c r="G200" t="inlineStr">
        <is>
          <t>Repair Mask</t>
        </is>
      </c>
      <c r="H200" t="inlineStr">
        <is>
          <t>Hair Care</t>
        </is>
      </c>
      <c r="I200" t="inlineStr">
        <is>
          <t>Daniel</t>
        </is>
      </c>
      <c r="J200" t="n">
        <v>120</v>
      </c>
      <c r="K200" t="n">
        <v>31.17</v>
      </c>
      <c r="L200" t="n">
        <v>64.38</v>
      </c>
      <c r="M200" t="n">
        <v>5</v>
      </c>
      <c r="N200" t="n">
        <v>7725.6</v>
      </c>
      <c r="O200" t="n">
        <v>3740.4</v>
      </c>
      <c r="P200" t="n">
        <v>3985.2</v>
      </c>
      <c r="Q200" t="n">
        <v>51.58</v>
      </c>
      <c r="R200" t="inlineStr">
        <is>
          <t>Credit Card</t>
        </is>
      </c>
      <c r="S200" t="inlineStr">
        <is>
          <t>New</t>
        </is>
      </c>
    </row>
    <row r="201">
      <c r="A201" t="inlineStr">
        <is>
          <t>T100201</t>
        </is>
      </c>
      <c r="B201" s="10" t="n">
        <v>45689</v>
      </c>
      <c r="C201" t="inlineStr">
        <is>
          <t>S001</t>
        </is>
      </c>
      <c r="D201" t="inlineStr">
        <is>
          <t>Miami Design District</t>
        </is>
      </c>
      <c r="E201" t="inlineStr">
        <is>
          <t>Gabriel Samra</t>
        </is>
      </c>
      <c r="F201" t="inlineStr">
        <is>
          <t>GS003</t>
        </is>
      </c>
      <c r="G201" t="inlineStr">
        <is>
          <t>Repair Mask</t>
        </is>
      </c>
      <c r="H201" t="inlineStr">
        <is>
          <t>Hair Care</t>
        </is>
      </c>
      <c r="I201" t="inlineStr">
        <is>
          <t>Olivia</t>
        </is>
      </c>
      <c r="J201" t="n">
        <v>118</v>
      </c>
      <c r="K201" t="n">
        <v>28.9</v>
      </c>
      <c r="L201" t="n">
        <v>61.3</v>
      </c>
      <c r="M201" t="n">
        <v>0</v>
      </c>
      <c r="N201" t="n">
        <v>7233.4</v>
      </c>
      <c r="O201" t="n">
        <v>3410.2</v>
      </c>
      <c r="P201" t="n">
        <v>3823.2</v>
      </c>
      <c r="Q201" t="n">
        <v>52.85</v>
      </c>
      <c r="R201" t="inlineStr">
        <is>
          <t>Apple Pay</t>
        </is>
      </c>
      <c r="S201" t="inlineStr">
        <is>
          <t>New</t>
        </is>
      </c>
    </row>
    <row r="202">
      <c r="A202" t="inlineStr">
        <is>
          <t>T100202</t>
        </is>
      </c>
      <c r="B202" s="10" t="n">
        <v>45717</v>
      </c>
      <c r="C202" t="inlineStr">
        <is>
          <t>S001</t>
        </is>
      </c>
      <c r="D202" t="inlineStr">
        <is>
          <t>Miami Design District</t>
        </is>
      </c>
      <c r="E202" t="inlineStr">
        <is>
          <t>Gabriel Samra</t>
        </is>
      </c>
      <c r="F202" t="inlineStr">
        <is>
          <t>GS003</t>
        </is>
      </c>
      <c r="G202" t="inlineStr">
        <is>
          <t>Repair Mask</t>
        </is>
      </c>
      <c r="H202" t="inlineStr">
        <is>
          <t>Hair Care</t>
        </is>
      </c>
      <c r="I202" t="inlineStr">
        <is>
          <t>Lucas</t>
        </is>
      </c>
      <c r="J202" t="n">
        <v>254</v>
      </c>
      <c r="K202" t="n">
        <v>22.94</v>
      </c>
      <c r="L202" t="n">
        <v>73.25</v>
      </c>
      <c r="M202" t="n">
        <v>10</v>
      </c>
      <c r="N202" t="n">
        <v>18605.5</v>
      </c>
      <c r="O202" t="n">
        <v>5826.76</v>
      </c>
      <c r="P202" t="n">
        <v>12778.74</v>
      </c>
      <c r="Q202" t="n">
        <v>68.68000000000001</v>
      </c>
      <c r="R202" t="inlineStr">
        <is>
          <t>Apple Pay</t>
        </is>
      </c>
      <c r="S202" t="inlineStr">
        <is>
          <t>Returning</t>
        </is>
      </c>
    </row>
    <row r="203">
      <c r="A203" t="inlineStr">
        <is>
          <t>T100203</t>
        </is>
      </c>
      <c r="B203" s="10" t="n">
        <v>45748</v>
      </c>
      <c r="C203" t="inlineStr">
        <is>
          <t>S001</t>
        </is>
      </c>
      <c r="D203" t="inlineStr">
        <is>
          <t>Miami Design District</t>
        </is>
      </c>
      <c r="E203" t="inlineStr">
        <is>
          <t>Gabriel Samra</t>
        </is>
      </c>
      <c r="F203" t="inlineStr">
        <is>
          <t>GS003</t>
        </is>
      </c>
      <c r="G203" t="inlineStr">
        <is>
          <t>Repair Mask</t>
        </is>
      </c>
      <c r="H203" t="inlineStr">
        <is>
          <t>Hair Care</t>
        </is>
      </c>
      <c r="I203" t="inlineStr">
        <is>
          <t>Olivia</t>
        </is>
      </c>
      <c r="J203" t="n">
        <v>133</v>
      </c>
      <c r="K203" t="n">
        <v>34.74</v>
      </c>
      <c r="L203" t="n">
        <v>117.38</v>
      </c>
      <c r="M203" t="n">
        <v>0</v>
      </c>
      <c r="N203" t="n">
        <v>15611.54</v>
      </c>
      <c r="O203" t="n">
        <v>4620.42</v>
      </c>
      <c r="P203" t="n">
        <v>10991.12</v>
      </c>
      <c r="Q203" t="n">
        <v>70.40000000000001</v>
      </c>
      <c r="R203" t="inlineStr">
        <is>
          <t>Credit Card</t>
        </is>
      </c>
      <c r="S203" t="inlineStr">
        <is>
          <t>Returning</t>
        </is>
      </c>
    </row>
    <row r="204">
      <c r="A204" t="inlineStr">
        <is>
          <t>T100204</t>
        </is>
      </c>
      <c r="B204" s="10" t="n">
        <v>45778</v>
      </c>
      <c r="C204" t="inlineStr">
        <is>
          <t>S001</t>
        </is>
      </c>
      <c r="D204" t="inlineStr">
        <is>
          <t>Miami Design District</t>
        </is>
      </c>
      <c r="E204" t="inlineStr">
        <is>
          <t>Gabriel Samra</t>
        </is>
      </c>
      <c r="F204" t="inlineStr">
        <is>
          <t>GS003</t>
        </is>
      </c>
      <c r="G204" t="inlineStr">
        <is>
          <t>Repair Mask</t>
        </is>
      </c>
      <c r="H204" t="inlineStr">
        <is>
          <t>Hair Care</t>
        </is>
      </c>
      <c r="I204" t="inlineStr">
        <is>
          <t>Emma</t>
        </is>
      </c>
      <c r="J204" t="n">
        <v>174</v>
      </c>
      <c r="K204" t="n">
        <v>14.57</v>
      </c>
      <c r="L204" t="n">
        <v>50.38</v>
      </c>
      <c r="M204" t="n">
        <v>10</v>
      </c>
      <c r="N204" t="n">
        <v>8766.120000000001</v>
      </c>
      <c r="O204" t="n">
        <v>2535.18</v>
      </c>
      <c r="P204" t="n">
        <v>6230.94</v>
      </c>
      <c r="Q204" t="n">
        <v>71.08</v>
      </c>
      <c r="R204" t="inlineStr">
        <is>
          <t>Credit Card</t>
        </is>
      </c>
      <c r="S204" t="inlineStr">
        <is>
          <t>New</t>
        </is>
      </c>
    </row>
    <row r="205">
      <c r="A205" t="inlineStr">
        <is>
          <t>T100205</t>
        </is>
      </c>
      <c r="B205" s="10" t="n">
        <v>45809</v>
      </c>
      <c r="C205" t="inlineStr">
        <is>
          <t>S001</t>
        </is>
      </c>
      <c r="D205" t="inlineStr">
        <is>
          <t>Miami Design District</t>
        </is>
      </c>
      <c r="E205" t="inlineStr">
        <is>
          <t>Gabriel Samra</t>
        </is>
      </c>
      <c r="F205" t="inlineStr">
        <is>
          <t>GS003</t>
        </is>
      </c>
      <c r="G205" t="inlineStr">
        <is>
          <t>Repair Mask</t>
        </is>
      </c>
      <c r="H205" t="inlineStr">
        <is>
          <t>Hair Care</t>
        </is>
      </c>
      <c r="I205" t="inlineStr">
        <is>
          <t>Emma</t>
        </is>
      </c>
      <c r="J205" t="n">
        <v>289</v>
      </c>
      <c r="K205" t="n">
        <v>15.16</v>
      </c>
      <c r="L205" t="n">
        <v>39.48</v>
      </c>
      <c r="M205" t="n">
        <v>5</v>
      </c>
      <c r="N205" t="n">
        <v>11409.72</v>
      </c>
      <c r="O205" t="n">
        <v>4381.24</v>
      </c>
      <c r="P205" t="n">
        <v>7028.48</v>
      </c>
      <c r="Q205" t="n">
        <v>61.6</v>
      </c>
      <c r="R205" t="inlineStr">
        <is>
          <t>Apple Pay</t>
        </is>
      </c>
      <c r="S205" t="inlineStr">
        <is>
          <t>Returning</t>
        </is>
      </c>
    </row>
    <row r="206">
      <c r="A206" t="inlineStr">
        <is>
          <t>T100206</t>
        </is>
      </c>
      <c r="B206" s="10" t="n">
        <v>45292</v>
      </c>
      <c r="C206" t="inlineStr">
        <is>
          <t>S001</t>
        </is>
      </c>
      <c r="D206" t="inlineStr">
        <is>
          <t>Miami Design District</t>
        </is>
      </c>
      <c r="E206" t="inlineStr">
        <is>
          <t>Gabriel Samra</t>
        </is>
      </c>
      <c r="F206" t="inlineStr">
        <is>
          <t>GS004</t>
        </is>
      </c>
      <c r="G206" t="inlineStr">
        <is>
          <t>Blonde Conditioner</t>
        </is>
      </c>
      <c r="H206" t="inlineStr">
        <is>
          <t>Hair Care</t>
        </is>
      </c>
      <c r="I206" t="inlineStr">
        <is>
          <t>Daniel</t>
        </is>
      </c>
      <c r="J206" t="n">
        <v>74</v>
      </c>
      <c r="K206" t="n">
        <v>26.24</v>
      </c>
      <c r="L206" t="n">
        <v>72.73999999999999</v>
      </c>
      <c r="M206" t="n">
        <v>10</v>
      </c>
      <c r="N206" t="n">
        <v>5382.76</v>
      </c>
      <c r="O206" t="n">
        <v>1941.76</v>
      </c>
      <c r="P206" t="n">
        <v>3441</v>
      </c>
      <c r="Q206" t="n">
        <v>63.93</v>
      </c>
      <c r="R206" t="inlineStr">
        <is>
          <t>Apple Pay</t>
        </is>
      </c>
      <c r="S206" t="inlineStr">
        <is>
          <t>New</t>
        </is>
      </c>
    </row>
    <row r="207">
      <c r="A207" t="inlineStr">
        <is>
          <t>T100207</t>
        </is>
      </c>
      <c r="B207" s="10" t="n">
        <v>45323</v>
      </c>
      <c r="C207" t="inlineStr">
        <is>
          <t>S001</t>
        </is>
      </c>
      <c r="D207" t="inlineStr">
        <is>
          <t>Miami Design District</t>
        </is>
      </c>
      <c r="E207" t="inlineStr">
        <is>
          <t>Gabriel Samra</t>
        </is>
      </c>
      <c r="F207" t="inlineStr">
        <is>
          <t>GS004</t>
        </is>
      </c>
      <c r="G207" t="inlineStr">
        <is>
          <t>Blonde Conditioner</t>
        </is>
      </c>
      <c r="H207" t="inlineStr">
        <is>
          <t>Hair Care</t>
        </is>
      </c>
      <c r="I207" t="inlineStr">
        <is>
          <t>Emma</t>
        </is>
      </c>
      <c r="J207" t="n">
        <v>71</v>
      </c>
      <c r="K207" t="n">
        <v>27.24</v>
      </c>
      <c r="L207" t="n">
        <v>87.08</v>
      </c>
      <c r="M207" t="n">
        <v>5</v>
      </c>
      <c r="N207" t="n">
        <v>6182.68</v>
      </c>
      <c r="O207" t="n">
        <v>1934.04</v>
      </c>
      <c r="P207" t="n">
        <v>4248.64</v>
      </c>
      <c r="Q207" t="n">
        <v>68.72</v>
      </c>
      <c r="R207" t="inlineStr">
        <is>
          <t>Apple Pay</t>
        </is>
      </c>
      <c r="S207" t="inlineStr">
        <is>
          <t>Returning</t>
        </is>
      </c>
    </row>
    <row r="208">
      <c r="A208" t="inlineStr">
        <is>
          <t>T100208</t>
        </is>
      </c>
      <c r="B208" s="10" t="n">
        <v>45352</v>
      </c>
      <c r="C208" t="inlineStr">
        <is>
          <t>S001</t>
        </is>
      </c>
      <c r="D208" t="inlineStr">
        <is>
          <t>Miami Design District</t>
        </is>
      </c>
      <c r="E208" t="inlineStr">
        <is>
          <t>Gabriel Samra</t>
        </is>
      </c>
      <c r="F208" t="inlineStr">
        <is>
          <t>GS004</t>
        </is>
      </c>
      <c r="G208" t="inlineStr">
        <is>
          <t>Blonde Conditioner</t>
        </is>
      </c>
      <c r="H208" t="inlineStr">
        <is>
          <t>Hair Care</t>
        </is>
      </c>
      <c r="I208" t="inlineStr">
        <is>
          <t>Olivia</t>
        </is>
      </c>
      <c r="J208" t="n">
        <v>68</v>
      </c>
      <c r="K208" t="n">
        <v>34.03</v>
      </c>
      <c r="L208" t="n">
        <v>108.88</v>
      </c>
      <c r="M208" t="n">
        <v>10</v>
      </c>
      <c r="N208" t="n">
        <v>7403.84</v>
      </c>
      <c r="O208" t="n">
        <v>2314.04</v>
      </c>
      <c r="P208" t="n">
        <v>5089.8</v>
      </c>
      <c r="Q208" t="n">
        <v>68.75</v>
      </c>
      <c r="R208" t="inlineStr">
        <is>
          <t>Cash</t>
        </is>
      </c>
      <c r="S208" t="inlineStr">
        <is>
          <t>Returning</t>
        </is>
      </c>
    </row>
    <row r="209">
      <c r="A209" t="inlineStr">
        <is>
          <t>T100209</t>
        </is>
      </c>
      <c r="B209" s="10" t="n">
        <v>45383</v>
      </c>
      <c r="C209" t="inlineStr">
        <is>
          <t>S001</t>
        </is>
      </c>
      <c r="D209" t="inlineStr">
        <is>
          <t>Miami Design District</t>
        </is>
      </c>
      <c r="E209" t="inlineStr">
        <is>
          <t>Gabriel Samra</t>
        </is>
      </c>
      <c r="F209" t="inlineStr">
        <is>
          <t>GS004</t>
        </is>
      </c>
      <c r="G209" t="inlineStr">
        <is>
          <t>Blonde Conditioner</t>
        </is>
      </c>
      <c r="H209" t="inlineStr">
        <is>
          <t>Hair Care</t>
        </is>
      </c>
      <c r="I209" t="inlineStr">
        <is>
          <t>Emma</t>
        </is>
      </c>
      <c r="J209" t="n">
        <v>59</v>
      </c>
      <c r="K209" t="n">
        <v>17.03</v>
      </c>
      <c r="L209" t="n">
        <v>40.47</v>
      </c>
      <c r="M209" t="n">
        <v>0</v>
      </c>
      <c r="N209" t="n">
        <v>2387.73</v>
      </c>
      <c r="O209" t="n">
        <v>1004.77</v>
      </c>
      <c r="P209" t="n">
        <v>1382.96</v>
      </c>
      <c r="Q209" t="n">
        <v>57.92</v>
      </c>
      <c r="R209" t="inlineStr">
        <is>
          <t>Credit Card</t>
        </is>
      </c>
      <c r="S209" t="inlineStr">
        <is>
          <t>Returning</t>
        </is>
      </c>
    </row>
    <row r="210">
      <c r="A210" t="inlineStr">
        <is>
          <t>T100210</t>
        </is>
      </c>
      <c r="B210" s="10" t="n">
        <v>45413</v>
      </c>
      <c r="C210" t="inlineStr">
        <is>
          <t>S001</t>
        </is>
      </c>
      <c r="D210" t="inlineStr">
        <is>
          <t>Miami Design District</t>
        </is>
      </c>
      <c r="E210" t="inlineStr">
        <is>
          <t>Gabriel Samra</t>
        </is>
      </c>
      <c r="F210" t="inlineStr">
        <is>
          <t>GS004</t>
        </is>
      </c>
      <c r="G210" t="inlineStr">
        <is>
          <t>Blonde Conditioner</t>
        </is>
      </c>
      <c r="H210" t="inlineStr">
        <is>
          <t>Hair Care</t>
        </is>
      </c>
      <c r="I210" t="inlineStr">
        <is>
          <t>Emma</t>
        </is>
      </c>
      <c r="J210" t="n">
        <v>66</v>
      </c>
      <c r="K210" t="n">
        <v>21.3</v>
      </c>
      <c r="L210" t="n">
        <v>69.87</v>
      </c>
      <c r="M210" t="n">
        <v>0</v>
      </c>
      <c r="N210" t="n">
        <v>4611.42</v>
      </c>
      <c r="O210" t="n">
        <v>1405.8</v>
      </c>
      <c r="P210" t="n">
        <v>3205.62</v>
      </c>
      <c r="Q210" t="n">
        <v>69.51000000000001</v>
      </c>
      <c r="R210" t="inlineStr">
        <is>
          <t>Cash</t>
        </is>
      </c>
      <c r="S210" t="inlineStr">
        <is>
          <t>Returning</t>
        </is>
      </c>
    </row>
    <row r="211">
      <c r="A211" t="inlineStr">
        <is>
          <t>T100211</t>
        </is>
      </c>
      <c r="B211" s="10" t="n">
        <v>45444</v>
      </c>
      <c r="C211" t="inlineStr">
        <is>
          <t>S001</t>
        </is>
      </c>
      <c r="D211" t="inlineStr">
        <is>
          <t>Miami Design District</t>
        </is>
      </c>
      <c r="E211" t="inlineStr">
        <is>
          <t>Gabriel Samra</t>
        </is>
      </c>
      <c r="F211" t="inlineStr">
        <is>
          <t>GS004</t>
        </is>
      </c>
      <c r="G211" t="inlineStr">
        <is>
          <t>Blonde Conditioner</t>
        </is>
      </c>
      <c r="H211" t="inlineStr">
        <is>
          <t>Hair Care</t>
        </is>
      </c>
      <c r="I211" t="inlineStr">
        <is>
          <t>Emma</t>
        </is>
      </c>
      <c r="J211" t="n">
        <v>70</v>
      </c>
      <c r="K211" t="n">
        <v>13.77</v>
      </c>
      <c r="L211" t="n">
        <v>31.29</v>
      </c>
      <c r="M211" t="n">
        <v>5</v>
      </c>
      <c r="N211" t="n">
        <v>2190.3</v>
      </c>
      <c r="O211" t="n">
        <v>963.9</v>
      </c>
      <c r="P211" t="n">
        <v>1226.4</v>
      </c>
      <c r="Q211" t="n">
        <v>55.99</v>
      </c>
      <c r="R211" t="inlineStr">
        <is>
          <t>Credit Card</t>
        </is>
      </c>
      <c r="S211" t="inlineStr">
        <is>
          <t>Returning</t>
        </is>
      </c>
    </row>
    <row r="212">
      <c r="A212" t="inlineStr">
        <is>
          <t>T100212</t>
        </is>
      </c>
      <c r="B212" s="10" t="n">
        <v>45474</v>
      </c>
      <c r="C212" t="inlineStr">
        <is>
          <t>S001</t>
        </is>
      </c>
      <c r="D212" t="inlineStr">
        <is>
          <t>Miami Design District</t>
        </is>
      </c>
      <c r="E212" t="inlineStr">
        <is>
          <t>Gabriel Samra</t>
        </is>
      </c>
      <c r="F212" t="inlineStr">
        <is>
          <t>GS004</t>
        </is>
      </c>
      <c r="G212" t="inlineStr">
        <is>
          <t>Blonde Conditioner</t>
        </is>
      </c>
      <c r="H212" t="inlineStr">
        <is>
          <t>Hair Care</t>
        </is>
      </c>
      <c r="I212" t="inlineStr">
        <is>
          <t>Sophia</t>
        </is>
      </c>
      <c r="J212" t="n">
        <v>72</v>
      </c>
      <c r="K212" t="n">
        <v>23.13</v>
      </c>
      <c r="L212" t="n">
        <v>58.64</v>
      </c>
      <c r="M212" t="n">
        <v>0</v>
      </c>
      <c r="N212" t="n">
        <v>4222.08</v>
      </c>
      <c r="O212" t="n">
        <v>1665.36</v>
      </c>
      <c r="P212" t="n">
        <v>2556.72</v>
      </c>
      <c r="Q212" t="n">
        <v>60.56</v>
      </c>
      <c r="R212" t="inlineStr">
        <is>
          <t>Cash</t>
        </is>
      </c>
      <c r="S212" t="inlineStr">
        <is>
          <t>New</t>
        </is>
      </c>
    </row>
    <row r="213">
      <c r="A213" t="inlineStr">
        <is>
          <t>T100213</t>
        </is>
      </c>
      <c r="B213" s="10" t="n">
        <v>45505</v>
      </c>
      <c r="C213" t="inlineStr">
        <is>
          <t>S001</t>
        </is>
      </c>
      <c r="D213" t="inlineStr">
        <is>
          <t>Miami Design District</t>
        </is>
      </c>
      <c r="E213" t="inlineStr">
        <is>
          <t>Gabriel Samra</t>
        </is>
      </c>
      <c r="F213" t="inlineStr">
        <is>
          <t>GS004</t>
        </is>
      </c>
      <c r="G213" t="inlineStr">
        <is>
          <t>Blonde Conditioner</t>
        </is>
      </c>
      <c r="H213" t="inlineStr">
        <is>
          <t>Hair Care</t>
        </is>
      </c>
      <c r="I213" t="inlineStr">
        <is>
          <t>Sophia</t>
        </is>
      </c>
      <c r="J213" t="n">
        <v>85</v>
      </c>
      <c r="K213" t="n">
        <v>32.72</v>
      </c>
      <c r="L213" t="n">
        <v>72.89</v>
      </c>
      <c r="M213" t="n">
        <v>10</v>
      </c>
      <c r="N213" t="n">
        <v>6195.65</v>
      </c>
      <c r="O213" t="n">
        <v>2781.2</v>
      </c>
      <c r="P213" t="n">
        <v>3414.45</v>
      </c>
      <c r="Q213" t="n">
        <v>55.11</v>
      </c>
      <c r="R213" t="inlineStr">
        <is>
          <t>Cash</t>
        </is>
      </c>
      <c r="S213" t="inlineStr">
        <is>
          <t>New</t>
        </is>
      </c>
    </row>
    <row r="214">
      <c r="A214" t="inlineStr">
        <is>
          <t>T100214</t>
        </is>
      </c>
      <c r="B214" s="10" t="n">
        <v>45536</v>
      </c>
      <c r="C214" t="inlineStr">
        <is>
          <t>S001</t>
        </is>
      </c>
      <c r="D214" t="inlineStr">
        <is>
          <t>Miami Design District</t>
        </is>
      </c>
      <c r="E214" t="inlineStr">
        <is>
          <t>Gabriel Samra</t>
        </is>
      </c>
      <c r="F214" t="inlineStr">
        <is>
          <t>GS004</t>
        </is>
      </c>
      <c r="G214" t="inlineStr">
        <is>
          <t>Blonde Conditioner</t>
        </is>
      </c>
      <c r="H214" t="inlineStr">
        <is>
          <t>Hair Care</t>
        </is>
      </c>
      <c r="I214" t="inlineStr">
        <is>
          <t>Olivia</t>
        </is>
      </c>
      <c r="J214" t="n">
        <v>68</v>
      </c>
      <c r="K214" t="n">
        <v>19.28</v>
      </c>
      <c r="L214" t="n">
        <v>43.31</v>
      </c>
      <c r="M214" t="n">
        <v>10</v>
      </c>
      <c r="N214" t="n">
        <v>2945.08</v>
      </c>
      <c r="O214" t="n">
        <v>1311.04</v>
      </c>
      <c r="P214" t="n">
        <v>1634.04</v>
      </c>
      <c r="Q214" t="n">
        <v>55.48</v>
      </c>
      <c r="R214" t="inlineStr">
        <is>
          <t>Cash</t>
        </is>
      </c>
      <c r="S214" t="inlineStr">
        <is>
          <t>New</t>
        </is>
      </c>
    </row>
    <row r="215">
      <c r="A215" t="inlineStr">
        <is>
          <t>T100215</t>
        </is>
      </c>
      <c r="B215" s="10" t="n">
        <v>45566</v>
      </c>
      <c r="C215" t="inlineStr">
        <is>
          <t>S001</t>
        </is>
      </c>
      <c r="D215" t="inlineStr">
        <is>
          <t>Miami Design District</t>
        </is>
      </c>
      <c r="E215" t="inlineStr">
        <is>
          <t>Gabriel Samra</t>
        </is>
      </c>
      <c r="F215" t="inlineStr">
        <is>
          <t>GS004</t>
        </is>
      </c>
      <c r="G215" t="inlineStr">
        <is>
          <t>Blonde Conditioner</t>
        </is>
      </c>
      <c r="H215" t="inlineStr">
        <is>
          <t>Hair Care</t>
        </is>
      </c>
      <c r="I215" t="inlineStr">
        <is>
          <t>Sophia</t>
        </is>
      </c>
      <c r="J215" t="n">
        <v>87</v>
      </c>
      <c r="K215" t="n">
        <v>12.91</v>
      </c>
      <c r="L215" t="n">
        <v>39.81</v>
      </c>
      <c r="M215" t="n">
        <v>0</v>
      </c>
      <c r="N215" t="n">
        <v>3463.47</v>
      </c>
      <c r="O215" t="n">
        <v>1123.17</v>
      </c>
      <c r="P215" t="n">
        <v>2340.3</v>
      </c>
      <c r="Q215" t="n">
        <v>67.56999999999999</v>
      </c>
      <c r="R215" t="inlineStr">
        <is>
          <t>Cash</t>
        </is>
      </c>
      <c r="S215" t="inlineStr">
        <is>
          <t>Returning</t>
        </is>
      </c>
    </row>
    <row r="216">
      <c r="A216" t="inlineStr">
        <is>
          <t>T100216</t>
        </is>
      </c>
      <c r="B216" s="10" t="n">
        <v>45597</v>
      </c>
      <c r="C216" t="inlineStr">
        <is>
          <t>S001</t>
        </is>
      </c>
      <c r="D216" t="inlineStr">
        <is>
          <t>Miami Design District</t>
        </is>
      </c>
      <c r="E216" t="inlineStr">
        <is>
          <t>Gabriel Samra</t>
        </is>
      </c>
      <c r="F216" t="inlineStr">
        <is>
          <t>GS004</t>
        </is>
      </c>
      <c r="G216" t="inlineStr">
        <is>
          <t>Blonde Conditioner</t>
        </is>
      </c>
      <c r="H216" t="inlineStr">
        <is>
          <t>Hair Care</t>
        </is>
      </c>
      <c r="I216" t="inlineStr">
        <is>
          <t>Olivia</t>
        </is>
      </c>
      <c r="J216" t="n">
        <v>104</v>
      </c>
      <c r="K216" t="n">
        <v>26.38</v>
      </c>
      <c r="L216" t="n">
        <v>64.03</v>
      </c>
      <c r="M216" t="n">
        <v>0</v>
      </c>
      <c r="N216" t="n">
        <v>6659.12</v>
      </c>
      <c r="O216" t="n">
        <v>2743.52</v>
      </c>
      <c r="P216" t="n">
        <v>3915.6</v>
      </c>
      <c r="Q216" t="n">
        <v>58.8</v>
      </c>
      <c r="R216" t="inlineStr">
        <is>
          <t>Cash</t>
        </is>
      </c>
      <c r="S216" t="inlineStr">
        <is>
          <t>New</t>
        </is>
      </c>
    </row>
    <row r="217">
      <c r="A217" t="inlineStr">
        <is>
          <t>T100217</t>
        </is>
      </c>
      <c r="B217" s="10" t="n">
        <v>45627</v>
      </c>
      <c r="C217" t="inlineStr">
        <is>
          <t>S001</t>
        </is>
      </c>
      <c r="D217" t="inlineStr">
        <is>
          <t>Miami Design District</t>
        </is>
      </c>
      <c r="E217" t="inlineStr">
        <is>
          <t>Gabriel Samra</t>
        </is>
      </c>
      <c r="F217" t="inlineStr">
        <is>
          <t>GS004</t>
        </is>
      </c>
      <c r="G217" t="inlineStr">
        <is>
          <t>Blonde Conditioner</t>
        </is>
      </c>
      <c r="H217" t="inlineStr">
        <is>
          <t>Hair Care</t>
        </is>
      </c>
      <c r="I217" t="inlineStr">
        <is>
          <t>Sophia</t>
        </is>
      </c>
      <c r="J217" t="n">
        <v>100</v>
      </c>
      <c r="K217" t="n">
        <v>26.85</v>
      </c>
      <c r="L217" t="n">
        <v>60.32</v>
      </c>
      <c r="M217" t="n">
        <v>10</v>
      </c>
      <c r="N217" t="n">
        <v>6032</v>
      </c>
      <c r="O217" t="n">
        <v>2685</v>
      </c>
      <c r="P217" t="n">
        <v>3347</v>
      </c>
      <c r="Q217" t="n">
        <v>55.49</v>
      </c>
      <c r="R217" t="inlineStr">
        <is>
          <t>Cash</t>
        </is>
      </c>
      <c r="S217" t="inlineStr">
        <is>
          <t>New</t>
        </is>
      </c>
    </row>
    <row r="218">
      <c r="A218" t="inlineStr">
        <is>
          <t>T100218</t>
        </is>
      </c>
      <c r="B218" s="10" t="n">
        <v>45658</v>
      </c>
      <c r="C218" t="inlineStr">
        <is>
          <t>S001</t>
        </is>
      </c>
      <c r="D218" t="inlineStr">
        <is>
          <t>Miami Design District</t>
        </is>
      </c>
      <c r="E218" t="inlineStr">
        <is>
          <t>Gabriel Samra</t>
        </is>
      </c>
      <c r="F218" t="inlineStr">
        <is>
          <t>GS004</t>
        </is>
      </c>
      <c r="G218" t="inlineStr">
        <is>
          <t>Blonde Conditioner</t>
        </is>
      </c>
      <c r="H218" t="inlineStr">
        <is>
          <t>Hair Care</t>
        </is>
      </c>
      <c r="I218" t="inlineStr">
        <is>
          <t>Emma</t>
        </is>
      </c>
      <c r="J218" t="n">
        <v>77</v>
      </c>
      <c r="K218" t="n">
        <v>28.07</v>
      </c>
      <c r="L218" t="n">
        <v>64.12</v>
      </c>
      <c r="M218" t="n">
        <v>0</v>
      </c>
      <c r="N218" t="n">
        <v>4937.24</v>
      </c>
      <c r="O218" t="n">
        <v>2161.39</v>
      </c>
      <c r="P218" t="n">
        <v>2775.85</v>
      </c>
      <c r="Q218" t="n">
        <v>56.22</v>
      </c>
      <c r="R218" t="inlineStr">
        <is>
          <t>Cash</t>
        </is>
      </c>
      <c r="S218" t="inlineStr">
        <is>
          <t>New</t>
        </is>
      </c>
    </row>
    <row r="219">
      <c r="A219" t="inlineStr">
        <is>
          <t>T100219</t>
        </is>
      </c>
      <c r="B219" s="10" t="n">
        <v>45689</v>
      </c>
      <c r="C219" t="inlineStr">
        <is>
          <t>S001</t>
        </is>
      </c>
      <c r="D219" t="inlineStr">
        <is>
          <t>Miami Design District</t>
        </is>
      </c>
      <c r="E219" t="inlineStr">
        <is>
          <t>Gabriel Samra</t>
        </is>
      </c>
      <c r="F219" t="inlineStr">
        <is>
          <t>GS004</t>
        </is>
      </c>
      <c r="G219" t="inlineStr">
        <is>
          <t>Blonde Conditioner</t>
        </is>
      </c>
      <c r="H219" t="inlineStr">
        <is>
          <t>Hair Care</t>
        </is>
      </c>
      <c r="I219" t="inlineStr">
        <is>
          <t>Olivia</t>
        </is>
      </c>
      <c r="J219" t="n">
        <v>86</v>
      </c>
      <c r="K219" t="n">
        <v>19.6</v>
      </c>
      <c r="L219" t="n">
        <v>43.97</v>
      </c>
      <c r="M219" t="n">
        <v>0</v>
      </c>
      <c r="N219" t="n">
        <v>3781.42</v>
      </c>
      <c r="O219" t="n">
        <v>1685.6</v>
      </c>
      <c r="P219" t="n">
        <v>2095.82</v>
      </c>
      <c r="Q219" t="n">
        <v>55.42</v>
      </c>
      <c r="R219" t="inlineStr">
        <is>
          <t>Cash</t>
        </is>
      </c>
      <c r="S219" t="inlineStr">
        <is>
          <t>New</t>
        </is>
      </c>
    </row>
    <row r="220">
      <c r="A220" t="inlineStr">
        <is>
          <t>T100220</t>
        </is>
      </c>
      <c r="B220" s="10" t="n">
        <v>45717</v>
      </c>
      <c r="C220" t="inlineStr">
        <is>
          <t>S001</t>
        </is>
      </c>
      <c r="D220" t="inlineStr">
        <is>
          <t>Miami Design District</t>
        </is>
      </c>
      <c r="E220" t="inlineStr">
        <is>
          <t>Gabriel Samra</t>
        </is>
      </c>
      <c r="F220" t="inlineStr">
        <is>
          <t>GS004</t>
        </is>
      </c>
      <c r="G220" t="inlineStr">
        <is>
          <t>Blonde Conditioner</t>
        </is>
      </c>
      <c r="H220" t="inlineStr">
        <is>
          <t>Hair Care</t>
        </is>
      </c>
      <c r="I220" t="inlineStr">
        <is>
          <t>Emma</t>
        </is>
      </c>
      <c r="J220" t="n">
        <v>85</v>
      </c>
      <c r="K220" t="n">
        <v>30.88</v>
      </c>
      <c r="L220" t="n">
        <v>78.42</v>
      </c>
      <c r="M220" t="n">
        <v>0</v>
      </c>
      <c r="N220" t="n">
        <v>6665.7</v>
      </c>
      <c r="O220" t="n">
        <v>2624.8</v>
      </c>
      <c r="P220" t="n">
        <v>4040.9</v>
      </c>
      <c r="Q220" t="n">
        <v>60.62</v>
      </c>
      <c r="R220" t="inlineStr">
        <is>
          <t>Apple Pay</t>
        </is>
      </c>
      <c r="S220" t="inlineStr">
        <is>
          <t>Returning</t>
        </is>
      </c>
    </row>
    <row r="221">
      <c r="A221" t="inlineStr">
        <is>
          <t>T100221</t>
        </is>
      </c>
      <c r="B221" s="10" t="n">
        <v>45748</v>
      </c>
      <c r="C221" t="inlineStr">
        <is>
          <t>S001</t>
        </is>
      </c>
      <c r="D221" t="inlineStr">
        <is>
          <t>Miami Design District</t>
        </is>
      </c>
      <c r="E221" t="inlineStr">
        <is>
          <t>Gabriel Samra</t>
        </is>
      </c>
      <c r="F221" t="inlineStr">
        <is>
          <t>GS004</t>
        </is>
      </c>
      <c r="G221" t="inlineStr">
        <is>
          <t>Blonde Conditioner</t>
        </is>
      </c>
      <c r="H221" t="inlineStr">
        <is>
          <t>Hair Care</t>
        </is>
      </c>
      <c r="I221" t="inlineStr">
        <is>
          <t>Daniel</t>
        </is>
      </c>
      <c r="J221" t="n">
        <v>78</v>
      </c>
      <c r="K221" t="n">
        <v>23.45</v>
      </c>
      <c r="L221" t="n">
        <v>77.11</v>
      </c>
      <c r="M221" t="n">
        <v>0</v>
      </c>
      <c r="N221" t="n">
        <v>6014.58</v>
      </c>
      <c r="O221" t="n">
        <v>1829.1</v>
      </c>
      <c r="P221" t="n">
        <v>4185.48</v>
      </c>
      <c r="Q221" t="n">
        <v>69.59</v>
      </c>
      <c r="R221" t="inlineStr">
        <is>
          <t>Cash</t>
        </is>
      </c>
      <c r="S221" t="inlineStr">
        <is>
          <t>Returning</t>
        </is>
      </c>
    </row>
    <row r="222">
      <c r="A222" t="inlineStr">
        <is>
          <t>T100222</t>
        </is>
      </c>
      <c r="B222" s="10" t="n">
        <v>45778</v>
      </c>
      <c r="C222" t="inlineStr">
        <is>
          <t>S001</t>
        </is>
      </c>
      <c r="D222" t="inlineStr">
        <is>
          <t>Miami Design District</t>
        </is>
      </c>
      <c r="E222" t="inlineStr">
        <is>
          <t>Gabriel Samra</t>
        </is>
      </c>
      <c r="F222" t="inlineStr">
        <is>
          <t>GS004</t>
        </is>
      </c>
      <c r="G222" t="inlineStr">
        <is>
          <t>Blonde Conditioner</t>
        </is>
      </c>
      <c r="H222" t="inlineStr">
        <is>
          <t>Hair Care</t>
        </is>
      </c>
      <c r="I222" t="inlineStr">
        <is>
          <t>Sophia</t>
        </is>
      </c>
      <c r="J222" t="n">
        <v>69</v>
      </c>
      <c r="K222" t="n">
        <v>32.3</v>
      </c>
      <c r="L222" t="n">
        <v>96.83</v>
      </c>
      <c r="M222" t="n">
        <v>0</v>
      </c>
      <c r="N222" t="n">
        <v>6681.27</v>
      </c>
      <c r="O222" t="n">
        <v>2228.7</v>
      </c>
      <c r="P222" t="n">
        <v>4452.57</v>
      </c>
      <c r="Q222" t="n">
        <v>66.64</v>
      </c>
      <c r="R222" t="inlineStr">
        <is>
          <t>Credit Card</t>
        </is>
      </c>
      <c r="S222" t="inlineStr">
        <is>
          <t>New</t>
        </is>
      </c>
    </row>
    <row r="223">
      <c r="A223" t="inlineStr">
        <is>
          <t>T100223</t>
        </is>
      </c>
      <c r="B223" s="10" t="n">
        <v>45809</v>
      </c>
      <c r="C223" t="inlineStr">
        <is>
          <t>S001</t>
        </is>
      </c>
      <c r="D223" t="inlineStr">
        <is>
          <t>Miami Design District</t>
        </is>
      </c>
      <c r="E223" t="inlineStr">
        <is>
          <t>Gabriel Samra</t>
        </is>
      </c>
      <c r="F223" t="inlineStr">
        <is>
          <t>GS004</t>
        </is>
      </c>
      <c r="G223" t="inlineStr">
        <is>
          <t>Blonde Conditioner</t>
        </is>
      </c>
      <c r="H223" t="inlineStr">
        <is>
          <t>Hair Care</t>
        </is>
      </c>
      <c r="I223" t="inlineStr">
        <is>
          <t>Lucas</t>
        </is>
      </c>
      <c r="J223" t="n">
        <v>95</v>
      </c>
      <c r="K223" t="n">
        <v>32.53</v>
      </c>
      <c r="L223" t="n">
        <v>75.16</v>
      </c>
      <c r="M223" t="n">
        <v>5</v>
      </c>
      <c r="N223" t="n">
        <v>7140.2</v>
      </c>
      <c r="O223" t="n">
        <v>3090.35</v>
      </c>
      <c r="P223" t="n">
        <v>4049.85</v>
      </c>
      <c r="Q223" t="n">
        <v>56.72</v>
      </c>
      <c r="R223" t="inlineStr">
        <is>
          <t>Credit Card</t>
        </is>
      </c>
      <c r="S223" t="inlineStr">
        <is>
          <t>New</t>
        </is>
      </c>
    </row>
    <row r="224">
      <c r="A224" t="inlineStr">
        <is>
          <t>T100224</t>
        </is>
      </c>
      <c r="B224" s="10" t="n">
        <v>45292</v>
      </c>
      <c r="C224" t="inlineStr">
        <is>
          <t>S001</t>
        </is>
      </c>
      <c r="D224" t="inlineStr">
        <is>
          <t>Miami Design District</t>
        </is>
      </c>
      <c r="E224" t="inlineStr">
        <is>
          <t>Gabriel Samra</t>
        </is>
      </c>
      <c r="F224" t="inlineStr">
        <is>
          <t>GS005</t>
        </is>
      </c>
      <c r="G224" t="inlineStr">
        <is>
          <t>Hair Oil Serum</t>
        </is>
      </c>
      <c r="H224" t="inlineStr">
        <is>
          <t>Styling</t>
        </is>
      </c>
      <c r="I224" t="inlineStr">
        <is>
          <t>Olivia</t>
        </is>
      </c>
      <c r="J224" t="n">
        <v>28</v>
      </c>
      <c r="K224" t="n">
        <v>24.54</v>
      </c>
      <c r="L224" t="n">
        <v>76.34999999999999</v>
      </c>
      <c r="M224" t="n">
        <v>5</v>
      </c>
      <c r="N224" t="n">
        <v>2137.8</v>
      </c>
      <c r="O224" t="n">
        <v>687.12</v>
      </c>
      <c r="P224" t="n">
        <v>1450.68</v>
      </c>
      <c r="Q224" t="n">
        <v>67.86</v>
      </c>
      <c r="R224" t="inlineStr">
        <is>
          <t>Cash</t>
        </is>
      </c>
      <c r="S224" t="inlineStr">
        <is>
          <t>Returning</t>
        </is>
      </c>
    </row>
    <row r="225">
      <c r="A225" t="inlineStr">
        <is>
          <t>T100225</t>
        </is>
      </c>
      <c r="B225" s="10" t="n">
        <v>45323</v>
      </c>
      <c r="C225" t="inlineStr">
        <is>
          <t>S001</t>
        </is>
      </c>
      <c r="D225" t="inlineStr">
        <is>
          <t>Miami Design District</t>
        </is>
      </c>
      <c r="E225" t="inlineStr">
        <is>
          <t>Gabriel Samra</t>
        </is>
      </c>
      <c r="F225" t="inlineStr">
        <is>
          <t>GS005</t>
        </is>
      </c>
      <c r="G225" t="inlineStr">
        <is>
          <t>Hair Oil Serum</t>
        </is>
      </c>
      <c r="H225" t="inlineStr">
        <is>
          <t>Styling</t>
        </is>
      </c>
      <c r="I225" t="inlineStr">
        <is>
          <t>Olivia</t>
        </is>
      </c>
      <c r="J225" t="n">
        <v>26</v>
      </c>
      <c r="K225" t="n">
        <v>23.6</v>
      </c>
      <c r="L225" t="n">
        <v>80.86</v>
      </c>
      <c r="M225" t="n">
        <v>10</v>
      </c>
      <c r="N225" t="n">
        <v>2102.36</v>
      </c>
      <c r="O225" t="n">
        <v>613.6</v>
      </c>
      <c r="P225" t="n">
        <v>1488.76</v>
      </c>
      <c r="Q225" t="n">
        <v>70.81</v>
      </c>
      <c r="R225" t="inlineStr">
        <is>
          <t>Credit Card</t>
        </is>
      </c>
      <c r="S225" t="inlineStr">
        <is>
          <t>Returning</t>
        </is>
      </c>
    </row>
    <row r="226">
      <c r="A226" t="inlineStr">
        <is>
          <t>T100226</t>
        </is>
      </c>
      <c r="B226" s="10" t="n">
        <v>45352</v>
      </c>
      <c r="C226" t="inlineStr">
        <is>
          <t>S001</t>
        </is>
      </c>
      <c r="D226" t="inlineStr">
        <is>
          <t>Miami Design District</t>
        </is>
      </c>
      <c r="E226" t="inlineStr">
        <is>
          <t>Gabriel Samra</t>
        </is>
      </c>
      <c r="F226" t="inlineStr">
        <is>
          <t>GS005</t>
        </is>
      </c>
      <c r="G226" t="inlineStr">
        <is>
          <t>Hair Oil Serum</t>
        </is>
      </c>
      <c r="H226" t="inlineStr">
        <is>
          <t>Styling</t>
        </is>
      </c>
      <c r="I226" t="inlineStr">
        <is>
          <t>Lucas</t>
        </is>
      </c>
      <c r="J226" t="n">
        <v>33</v>
      </c>
      <c r="K226" t="n">
        <v>23.02</v>
      </c>
      <c r="L226" t="n">
        <v>53.54</v>
      </c>
      <c r="M226" t="n">
        <v>0</v>
      </c>
      <c r="N226" t="n">
        <v>1766.82</v>
      </c>
      <c r="O226" t="n">
        <v>759.66</v>
      </c>
      <c r="P226" t="n">
        <v>1007.16</v>
      </c>
      <c r="Q226" t="n">
        <v>57</v>
      </c>
      <c r="R226" t="inlineStr">
        <is>
          <t>Apple Pay</t>
        </is>
      </c>
      <c r="S226" t="inlineStr">
        <is>
          <t>Returning</t>
        </is>
      </c>
    </row>
    <row r="227">
      <c r="A227" t="inlineStr">
        <is>
          <t>T100227</t>
        </is>
      </c>
      <c r="B227" s="10" t="n">
        <v>45383</v>
      </c>
      <c r="C227" t="inlineStr">
        <is>
          <t>S001</t>
        </is>
      </c>
      <c r="D227" t="inlineStr">
        <is>
          <t>Miami Design District</t>
        </is>
      </c>
      <c r="E227" t="inlineStr">
        <is>
          <t>Gabriel Samra</t>
        </is>
      </c>
      <c r="F227" t="inlineStr">
        <is>
          <t>GS005</t>
        </is>
      </c>
      <c r="G227" t="inlineStr">
        <is>
          <t>Hair Oil Serum</t>
        </is>
      </c>
      <c r="H227" t="inlineStr">
        <is>
          <t>Styling</t>
        </is>
      </c>
      <c r="I227" t="inlineStr">
        <is>
          <t>Lucas</t>
        </is>
      </c>
      <c r="J227" t="n">
        <v>29</v>
      </c>
      <c r="K227" t="n">
        <v>32.56</v>
      </c>
      <c r="L227" t="n">
        <v>70.94</v>
      </c>
      <c r="M227" t="n">
        <v>10</v>
      </c>
      <c r="N227" t="n">
        <v>2057.26</v>
      </c>
      <c r="O227" t="n">
        <v>944.24</v>
      </c>
      <c r="P227" t="n">
        <v>1113.02</v>
      </c>
      <c r="Q227" t="n">
        <v>54.1</v>
      </c>
      <c r="R227" t="inlineStr">
        <is>
          <t>Apple Pay</t>
        </is>
      </c>
      <c r="S227" t="inlineStr">
        <is>
          <t>Returning</t>
        </is>
      </c>
    </row>
    <row r="228">
      <c r="A228" t="inlineStr">
        <is>
          <t>T100228</t>
        </is>
      </c>
      <c r="B228" s="10" t="n">
        <v>45413</v>
      </c>
      <c r="C228" t="inlineStr">
        <is>
          <t>S001</t>
        </is>
      </c>
      <c r="D228" t="inlineStr">
        <is>
          <t>Miami Design District</t>
        </is>
      </c>
      <c r="E228" t="inlineStr">
        <is>
          <t>Gabriel Samra</t>
        </is>
      </c>
      <c r="F228" t="inlineStr">
        <is>
          <t>GS005</t>
        </is>
      </c>
      <c r="G228" t="inlineStr">
        <is>
          <t>Hair Oil Serum</t>
        </is>
      </c>
      <c r="H228" t="inlineStr">
        <is>
          <t>Styling</t>
        </is>
      </c>
      <c r="I228" t="inlineStr">
        <is>
          <t>Olivia</t>
        </is>
      </c>
      <c r="J228" t="n">
        <v>28</v>
      </c>
      <c r="K228" t="n">
        <v>34.2</v>
      </c>
      <c r="L228" t="n">
        <v>93.64</v>
      </c>
      <c r="M228" t="n">
        <v>5</v>
      </c>
      <c r="N228" t="n">
        <v>2621.92</v>
      </c>
      <c r="O228" t="n">
        <v>957.6</v>
      </c>
      <c r="P228" t="n">
        <v>1664.32</v>
      </c>
      <c r="Q228" t="n">
        <v>63.48</v>
      </c>
      <c r="R228" t="inlineStr">
        <is>
          <t>Apple Pay</t>
        </is>
      </c>
      <c r="S228" t="inlineStr">
        <is>
          <t>New</t>
        </is>
      </c>
    </row>
    <row r="229">
      <c r="A229" t="inlineStr">
        <is>
          <t>T100229</t>
        </is>
      </c>
      <c r="B229" s="10" t="n">
        <v>45444</v>
      </c>
      <c r="C229" t="inlineStr">
        <is>
          <t>S001</t>
        </is>
      </c>
      <c r="D229" t="inlineStr">
        <is>
          <t>Miami Design District</t>
        </is>
      </c>
      <c r="E229" t="inlineStr">
        <is>
          <t>Gabriel Samra</t>
        </is>
      </c>
      <c r="F229" t="inlineStr">
        <is>
          <t>GS005</t>
        </is>
      </c>
      <c r="G229" t="inlineStr">
        <is>
          <t>Hair Oil Serum</t>
        </is>
      </c>
      <c r="H229" t="inlineStr">
        <is>
          <t>Styling</t>
        </is>
      </c>
      <c r="I229" t="inlineStr">
        <is>
          <t>Sophia</t>
        </is>
      </c>
      <c r="J229" t="n">
        <v>44</v>
      </c>
      <c r="K229" t="n">
        <v>23.12</v>
      </c>
      <c r="L229" t="n">
        <v>61.38</v>
      </c>
      <c r="M229" t="n">
        <v>0</v>
      </c>
      <c r="N229" t="n">
        <v>2700.72</v>
      </c>
      <c r="O229" t="n">
        <v>1017.28</v>
      </c>
      <c r="P229" t="n">
        <v>1683.44</v>
      </c>
      <c r="Q229" t="n">
        <v>62.33</v>
      </c>
      <c r="R229" t="inlineStr">
        <is>
          <t>Apple Pay</t>
        </is>
      </c>
      <c r="S229" t="inlineStr">
        <is>
          <t>Returning</t>
        </is>
      </c>
    </row>
    <row r="230">
      <c r="A230" t="inlineStr">
        <is>
          <t>T100230</t>
        </is>
      </c>
      <c r="B230" s="10" t="n">
        <v>45474</v>
      </c>
      <c r="C230" t="inlineStr">
        <is>
          <t>S001</t>
        </is>
      </c>
      <c r="D230" t="inlineStr">
        <is>
          <t>Miami Design District</t>
        </is>
      </c>
      <c r="E230" t="inlineStr">
        <is>
          <t>Gabriel Samra</t>
        </is>
      </c>
      <c r="F230" t="inlineStr">
        <is>
          <t>GS005</t>
        </is>
      </c>
      <c r="G230" t="inlineStr">
        <is>
          <t>Hair Oil Serum</t>
        </is>
      </c>
      <c r="H230" t="inlineStr">
        <is>
          <t>Styling</t>
        </is>
      </c>
      <c r="I230" t="inlineStr">
        <is>
          <t>Emma</t>
        </is>
      </c>
      <c r="J230" t="n">
        <v>42</v>
      </c>
      <c r="K230" t="n">
        <v>21.32</v>
      </c>
      <c r="L230" t="n">
        <v>57.15</v>
      </c>
      <c r="M230" t="n">
        <v>0</v>
      </c>
      <c r="N230" t="n">
        <v>2400.3</v>
      </c>
      <c r="O230" t="n">
        <v>895.4400000000001</v>
      </c>
      <c r="P230" t="n">
        <v>1504.86</v>
      </c>
      <c r="Q230" t="n">
        <v>62.69</v>
      </c>
      <c r="R230" t="inlineStr">
        <is>
          <t>Cash</t>
        </is>
      </c>
      <c r="S230" t="inlineStr">
        <is>
          <t>New</t>
        </is>
      </c>
    </row>
    <row r="231">
      <c r="A231" t="inlineStr">
        <is>
          <t>T100231</t>
        </is>
      </c>
      <c r="B231" s="10" t="n">
        <v>45505</v>
      </c>
      <c r="C231" t="inlineStr">
        <is>
          <t>S001</t>
        </is>
      </c>
      <c r="D231" t="inlineStr">
        <is>
          <t>Miami Design District</t>
        </is>
      </c>
      <c r="E231" t="inlineStr">
        <is>
          <t>Gabriel Samra</t>
        </is>
      </c>
      <c r="F231" t="inlineStr">
        <is>
          <t>GS005</t>
        </is>
      </c>
      <c r="G231" t="inlineStr">
        <is>
          <t>Hair Oil Serum</t>
        </is>
      </c>
      <c r="H231" t="inlineStr">
        <is>
          <t>Styling</t>
        </is>
      </c>
      <c r="I231" t="inlineStr">
        <is>
          <t>Olivia</t>
        </is>
      </c>
      <c r="J231" t="n">
        <v>39</v>
      </c>
      <c r="K231" t="n">
        <v>18.26</v>
      </c>
      <c r="L231" t="n">
        <v>59.13</v>
      </c>
      <c r="M231" t="n">
        <v>10</v>
      </c>
      <c r="N231" t="n">
        <v>2306.07</v>
      </c>
      <c r="O231" t="n">
        <v>712.14</v>
      </c>
      <c r="P231" t="n">
        <v>1593.93</v>
      </c>
      <c r="Q231" t="n">
        <v>69.12</v>
      </c>
      <c r="R231" t="inlineStr">
        <is>
          <t>Credit Card</t>
        </is>
      </c>
      <c r="S231" t="inlineStr">
        <is>
          <t>New</t>
        </is>
      </c>
    </row>
    <row r="232">
      <c r="A232" t="inlineStr">
        <is>
          <t>T100232</t>
        </is>
      </c>
      <c r="B232" s="10" t="n">
        <v>45536</v>
      </c>
      <c r="C232" t="inlineStr">
        <is>
          <t>S001</t>
        </is>
      </c>
      <c r="D232" t="inlineStr">
        <is>
          <t>Miami Design District</t>
        </is>
      </c>
      <c r="E232" t="inlineStr">
        <is>
          <t>Gabriel Samra</t>
        </is>
      </c>
      <c r="F232" t="inlineStr">
        <is>
          <t>GS005</t>
        </is>
      </c>
      <c r="G232" t="inlineStr">
        <is>
          <t>Hair Oil Serum</t>
        </is>
      </c>
      <c r="H232" t="inlineStr">
        <is>
          <t>Styling</t>
        </is>
      </c>
      <c r="I232" t="inlineStr">
        <is>
          <t>Lucas</t>
        </is>
      </c>
      <c r="J232" t="n">
        <v>38</v>
      </c>
      <c r="K232" t="n">
        <v>33.33</v>
      </c>
      <c r="L232" t="n">
        <v>83.3</v>
      </c>
      <c r="M232" t="n">
        <v>0</v>
      </c>
      <c r="N232" t="n">
        <v>3165.4</v>
      </c>
      <c r="O232" t="n">
        <v>1266.54</v>
      </c>
      <c r="P232" t="n">
        <v>1898.86</v>
      </c>
      <c r="Q232" t="n">
        <v>59.99</v>
      </c>
      <c r="R232" t="inlineStr">
        <is>
          <t>Credit Card</t>
        </is>
      </c>
      <c r="S232" t="inlineStr">
        <is>
          <t>New</t>
        </is>
      </c>
    </row>
    <row r="233">
      <c r="A233" t="inlineStr">
        <is>
          <t>T100233</t>
        </is>
      </c>
      <c r="B233" s="10" t="n">
        <v>45566</v>
      </c>
      <c r="C233" t="inlineStr">
        <is>
          <t>S001</t>
        </is>
      </c>
      <c r="D233" t="inlineStr">
        <is>
          <t>Miami Design District</t>
        </is>
      </c>
      <c r="E233" t="inlineStr">
        <is>
          <t>Gabriel Samra</t>
        </is>
      </c>
      <c r="F233" t="inlineStr">
        <is>
          <t>GS005</t>
        </is>
      </c>
      <c r="G233" t="inlineStr">
        <is>
          <t>Hair Oil Serum</t>
        </is>
      </c>
      <c r="H233" t="inlineStr">
        <is>
          <t>Styling</t>
        </is>
      </c>
      <c r="I233" t="inlineStr">
        <is>
          <t>Sophia</t>
        </is>
      </c>
      <c r="J233" t="n">
        <v>39</v>
      </c>
      <c r="K233" t="n">
        <v>23.49</v>
      </c>
      <c r="L233" t="n">
        <v>62.62</v>
      </c>
      <c r="M233" t="n">
        <v>10</v>
      </c>
      <c r="N233" t="n">
        <v>2442.18</v>
      </c>
      <c r="O233" t="n">
        <v>916.11</v>
      </c>
      <c r="P233" t="n">
        <v>1526.07</v>
      </c>
      <c r="Q233" t="n">
        <v>62.49</v>
      </c>
      <c r="R233" t="inlineStr">
        <is>
          <t>Cash</t>
        </is>
      </c>
      <c r="S233" t="inlineStr">
        <is>
          <t>Returning</t>
        </is>
      </c>
    </row>
    <row r="234">
      <c r="A234" t="inlineStr">
        <is>
          <t>T100234</t>
        </is>
      </c>
      <c r="B234" s="10" t="n">
        <v>45597</v>
      </c>
      <c r="C234" t="inlineStr">
        <is>
          <t>S001</t>
        </is>
      </c>
      <c r="D234" t="inlineStr">
        <is>
          <t>Miami Design District</t>
        </is>
      </c>
      <c r="E234" t="inlineStr">
        <is>
          <t>Gabriel Samra</t>
        </is>
      </c>
      <c r="F234" t="inlineStr">
        <is>
          <t>GS005</t>
        </is>
      </c>
      <c r="G234" t="inlineStr">
        <is>
          <t>Hair Oil Serum</t>
        </is>
      </c>
      <c r="H234" t="inlineStr">
        <is>
          <t>Styling</t>
        </is>
      </c>
      <c r="I234" t="inlineStr">
        <is>
          <t>Emma</t>
        </is>
      </c>
      <c r="J234" t="n">
        <v>52</v>
      </c>
      <c r="K234" t="n">
        <v>32.1</v>
      </c>
      <c r="L234" t="n">
        <v>72.98</v>
      </c>
      <c r="M234" t="n">
        <v>5</v>
      </c>
      <c r="N234" t="n">
        <v>3794.96</v>
      </c>
      <c r="O234" t="n">
        <v>1669.2</v>
      </c>
      <c r="P234" t="n">
        <v>2125.76</v>
      </c>
      <c r="Q234" t="n">
        <v>56.02</v>
      </c>
      <c r="R234" t="inlineStr">
        <is>
          <t>Cash</t>
        </is>
      </c>
      <c r="S234" t="inlineStr">
        <is>
          <t>New</t>
        </is>
      </c>
    </row>
    <row r="235">
      <c r="A235" t="inlineStr">
        <is>
          <t>T100235</t>
        </is>
      </c>
      <c r="B235" s="10" t="n">
        <v>45627</v>
      </c>
      <c r="C235" t="inlineStr">
        <is>
          <t>S001</t>
        </is>
      </c>
      <c r="D235" t="inlineStr">
        <is>
          <t>Miami Design District</t>
        </is>
      </c>
      <c r="E235" t="inlineStr">
        <is>
          <t>Gabriel Samra</t>
        </is>
      </c>
      <c r="F235" t="inlineStr">
        <is>
          <t>GS005</t>
        </is>
      </c>
      <c r="G235" t="inlineStr">
        <is>
          <t>Hair Oil Serum</t>
        </is>
      </c>
      <c r="H235" t="inlineStr">
        <is>
          <t>Styling</t>
        </is>
      </c>
      <c r="I235" t="inlineStr">
        <is>
          <t>Olivia</t>
        </is>
      </c>
      <c r="J235" t="n">
        <v>44</v>
      </c>
      <c r="K235" t="n">
        <v>30.98</v>
      </c>
      <c r="L235" t="n">
        <v>102.1</v>
      </c>
      <c r="M235" t="n">
        <v>0</v>
      </c>
      <c r="N235" t="n">
        <v>4492.4</v>
      </c>
      <c r="O235" t="n">
        <v>1363.12</v>
      </c>
      <c r="P235" t="n">
        <v>3129.28</v>
      </c>
      <c r="Q235" t="n">
        <v>69.66</v>
      </c>
      <c r="R235" t="inlineStr">
        <is>
          <t>Credit Card</t>
        </is>
      </c>
      <c r="S235" t="inlineStr">
        <is>
          <t>New</t>
        </is>
      </c>
    </row>
    <row r="236">
      <c r="A236" t="inlineStr">
        <is>
          <t>T100236</t>
        </is>
      </c>
      <c r="B236" s="10" t="n">
        <v>45658</v>
      </c>
      <c r="C236" t="inlineStr">
        <is>
          <t>S001</t>
        </is>
      </c>
      <c r="D236" t="inlineStr">
        <is>
          <t>Miami Design District</t>
        </is>
      </c>
      <c r="E236" t="inlineStr">
        <is>
          <t>Gabriel Samra</t>
        </is>
      </c>
      <c r="F236" t="inlineStr">
        <is>
          <t>GS005</t>
        </is>
      </c>
      <c r="G236" t="inlineStr">
        <is>
          <t>Hair Oil Serum</t>
        </is>
      </c>
      <c r="H236" t="inlineStr">
        <is>
          <t>Styling</t>
        </is>
      </c>
      <c r="I236" t="inlineStr">
        <is>
          <t>Olivia</t>
        </is>
      </c>
      <c r="J236" t="n">
        <v>37</v>
      </c>
      <c r="K236" t="n">
        <v>16.25</v>
      </c>
      <c r="L236" t="n">
        <v>54.05</v>
      </c>
      <c r="M236" t="n">
        <v>5</v>
      </c>
      <c r="N236" t="n">
        <v>1999.85</v>
      </c>
      <c r="O236" t="n">
        <v>601.25</v>
      </c>
      <c r="P236" t="n">
        <v>1398.6</v>
      </c>
      <c r="Q236" t="n">
        <v>69.94</v>
      </c>
      <c r="R236" t="inlineStr">
        <is>
          <t>Cash</t>
        </is>
      </c>
      <c r="S236" t="inlineStr">
        <is>
          <t>Returning</t>
        </is>
      </c>
    </row>
    <row r="237">
      <c r="A237" t="inlineStr">
        <is>
          <t>T100237</t>
        </is>
      </c>
      <c r="B237" s="10" t="n">
        <v>45689</v>
      </c>
      <c r="C237" t="inlineStr">
        <is>
          <t>S001</t>
        </is>
      </c>
      <c r="D237" t="inlineStr">
        <is>
          <t>Miami Design District</t>
        </is>
      </c>
      <c r="E237" t="inlineStr">
        <is>
          <t>Gabriel Samra</t>
        </is>
      </c>
      <c r="F237" t="inlineStr">
        <is>
          <t>GS005</t>
        </is>
      </c>
      <c r="G237" t="inlineStr">
        <is>
          <t>Hair Oil Serum</t>
        </is>
      </c>
      <c r="H237" t="inlineStr">
        <is>
          <t>Styling</t>
        </is>
      </c>
      <c r="I237" t="inlineStr">
        <is>
          <t>Olivia</t>
        </is>
      </c>
      <c r="J237" t="n">
        <v>43</v>
      </c>
      <c r="K237" t="n">
        <v>30.83</v>
      </c>
      <c r="L237" t="n">
        <v>101.01</v>
      </c>
      <c r="M237" t="n">
        <v>0</v>
      </c>
      <c r="N237" t="n">
        <v>4343.43</v>
      </c>
      <c r="O237" t="n">
        <v>1325.69</v>
      </c>
      <c r="P237" t="n">
        <v>3017.74</v>
      </c>
      <c r="Q237" t="n">
        <v>69.48</v>
      </c>
      <c r="R237" t="inlineStr">
        <is>
          <t>Credit Card</t>
        </is>
      </c>
      <c r="S237" t="inlineStr">
        <is>
          <t>Returning</t>
        </is>
      </c>
    </row>
    <row r="238">
      <c r="A238" t="inlineStr">
        <is>
          <t>T100238</t>
        </is>
      </c>
      <c r="B238" s="10" t="n">
        <v>45717</v>
      </c>
      <c r="C238" t="inlineStr">
        <is>
          <t>S001</t>
        </is>
      </c>
      <c r="D238" t="inlineStr">
        <is>
          <t>Miami Design District</t>
        </is>
      </c>
      <c r="E238" t="inlineStr">
        <is>
          <t>Gabriel Samra</t>
        </is>
      </c>
      <c r="F238" t="inlineStr">
        <is>
          <t>GS005</t>
        </is>
      </c>
      <c r="G238" t="inlineStr">
        <is>
          <t>Hair Oil Serum</t>
        </is>
      </c>
      <c r="H238" t="inlineStr">
        <is>
          <t>Styling</t>
        </is>
      </c>
      <c r="I238" t="inlineStr">
        <is>
          <t>Sophia</t>
        </is>
      </c>
      <c r="J238" t="n">
        <v>37</v>
      </c>
      <c r="K238" t="n">
        <v>28.67</v>
      </c>
      <c r="L238" t="n">
        <v>81.17</v>
      </c>
      <c r="M238" t="n">
        <v>0</v>
      </c>
      <c r="N238" t="n">
        <v>3003.29</v>
      </c>
      <c r="O238" t="n">
        <v>1060.79</v>
      </c>
      <c r="P238" t="n">
        <v>1942.5</v>
      </c>
      <c r="Q238" t="n">
        <v>64.68000000000001</v>
      </c>
      <c r="R238" t="inlineStr">
        <is>
          <t>Cash</t>
        </is>
      </c>
      <c r="S238" t="inlineStr">
        <is>
          <t>New</t>
        </is>
      </c>
    </row>
    <row r="239">
      <c r="A239" t="inlineStr">
        <is>
          <t>T100239</t>
        </is>
      </c>
      <c r="B239" s="10" t="n">
        <v>45748</v>
      </c>
      <c r="C239" t="inlineStr">
        <is>
          <t>S001</t>
        </is>
      </c>
      <c r="D239" t="inlineStr">
        <is>
          <t>Miami Design District</t>
        </is>
      </c>
      <c r="E239" t="inlineStr">
        <is>
          <t>Gabriel Samra</t>
        </is>
      </c>
      <c r="F239" t="inlineStr">
        <is>
          <t>GS005</t>
        </is>
      </c>
      <c r="G239" t="inlineStr">
        <is>
          <t>Hair Oil Serum</t>
        </is>
      </c>
      <c r="H239" t="inlineStr">
        <is>
          <t>Styling</t>
        </is>
      </c>
      <c r="I239" t="inlineStr">
        <is>
          <t>Olivia</t>
        </is>
      </c>
      <c r="J239" t="n">
        <v>40</v>
      </c>
      <c r="K239" t="n">
        <v>28.99</v>
      </c>
      <c r="L239" t="n">
        <v>60.54</v>
      </c>
      <c r="M239" t="n">
        <v>10</v>
      </c>
      <c r="N239" t="n">
        <v>2421.6</v>
      </c>
      <c r="O239" t="n">
        <v>1159.6</v>
      </c>
      <c r="P239" t="n">
        <v>1262</v>
      </c>
      <c r="Q239" t="n">
        <v>52.11</v>
      </c>
      <c r="R239" t="inlineStr">
        <is>
          <t>Cash</t>
        </is>
      </c>
      <c r="S239" t="inlineStr">
        <is>
          <t>New</t>
        </is>
      </c>
    </row>
    <row r="240">
      <c r="A240" t="inlineStr">
        <is>
          <t>T100240</t>
        </is>
      </c>
      <c r="B240" s="10" t="n">
        <v>45778</v>
      </c>
      <c r="C240" t="inlineStr">
        <is>
          <t>S001</t>
        </is>
      </c>
      <c r="D240" t="inlineStr">
        <is>
          <t>Miami Design District</t>
        </is>
      </c>
      <c r="E240" t="inlineStr">
        <is>
          <t>Gabriel Samra</t>
        </is>
      </c>
      <c r="F240" t="inlineStr">
        <is>
          <t>GS005</t>
        </is>
      </c>
      <c r="G240" t="inlineStr">
        <is>
          <t>Hair Oil Serum</t>
        </is>
      </c>
      <c r="H240" t="inlineStr">
        <is>
          <t>Styling</t>
        </is>
      </c>
      <c r="I240" t="inlineStr">
        <is>
          <t>Olivia</t>
        </is>
      </c>
      <c r="J240" t="n">
        <v>39</v>
      </c>
      <c r="K240" t="n">
        <v>17.93</v>
      </c>
      <c r="L240" t="n">
        <v>57.97</v>
      </c>
      <c r="M240" t="n">
        <v>5</v>
      </c>
      <c r="N240" t="n">
        <v>2260.83</v>
      </c>
      <c r="O240" t="n">
        <v>699.27</v>
      </c>
      <c r="P240" t="n">
        <v>1561.56</v>
      </c>
      <c r="Q240" t="n">
        <v>69.06999999999999</v>
      </c>
      <c r="R240" t="inlineStr">
        <is>
          <t>Credit Card</t>
        </is>
      </c>
      <c r="S240" t="inlineStr">
        <is>
          <t>Returning</t>
        </is>
      </c>
    </row>
    <row r="241">
      <c r="A241" t="inlineStr">
        <is>
          <t>T100241</t>
        </is>
      </c>
      <c r="B241" s="10" t="n">
        <v>45809</v>
      </c>
      <c r="C241" t="inlineStr">
        <is>
          <t>S001</t>
        </is>
      </c>
      <c r="D241" t="inlineStr">
        <is>
          <t>Miami Design District</t>
        </is>
      </c>
      <c r="E241" t="inlineStr">
        <is>
          <t>Gabriel Samra</t>
        </is>
      </c>
      <c r="F241" t="inlineStr">
        <is>
          <t>GS005</t>
        </is>
      </c>
      <c r="G241" t="inlineStr">
        <is>
          <t>Hair Oil Serum</t>
        </is>
      </c>
      <c r="H241" t="inlineStr">
        <is>
          <t>Styling</t>
        </is>
      </c>
      <c r="I241" t="inlineStr">
        <is>
          <t>Olivia</t>
        </is>
      </c>
      <c r="J241" t="n">
        <v>47</v>
      </c>
      <c r="K241" t="n">
        <v>22.42</v>
      </c>
      <c r="L241" t="n">
        <v>69.83</v>
      </c>
      <c r="M241" t="n">
        <v>10</v>
      </c>
      <c r="N241" t="n">
        <v>3282.01</v>
      </c>
      <c r="O241" t="n">
        <v>1053.74</v>
      </c>
      <c r="P241" t="n">
        <v>2228.27</v>
      </c>
      <c r="Q241" t="n">
        <v>67.89</v>
      </c>
      <c r="R241" t="inlineStr">
        <is>
          <t>Cash</t>
        </is>
      </c>
      <c r="S241" t="inlineStr">
        <is>
          <t>Returning</t>
        </is>
      </c>
    </row>
    <row r="242">
      <c r="A242" t="inlineStr">
        <is>
          <t>T100242</t>
        </is>
      </c>
      <c r="B242" s="10" t="n">
        <v>45292</v>
      </c>
      <c r="C242" t="inlineStr">
        <is>
          <t>S002</t>
        </is>
      </c>
      <c r="D242" t="inlineStr">
        <is>
          <t>Brickell</t>
        </is>
      </c>
      <c r="E242" t="inlineStr">
        <is>
          <t>Gabriel Samra</t>
        </is>
      </c>
      <c r="F242" t="inlineStr">
        <is>
          <t>GS001</t>
        </is>
      </c>
      <c r="G242" t="inlineStr">
        <is>
          <t>Keratin Treatment</t>
        </is>
      </c>
      <c r="H242" t="inlineStr">
        <is>
          <t>Hair Treatment</t>
        </is>
      </c>
      <c r="I242" t="inlineStr">
        <is>
          <t>Olivia</t>
        </is>
      </c>
      <c r="J242" t="n">
        <v>55</v>
      </c>
      <c r="K242" t="n">
        <v>18.68</v>
      </c>
      <c r="L242" t="n">
        <v>60.87</v>
      </c>
      <c r="M242" t="n">
        <v>0</v>
      </c>
      <c r="N242" t="n">
        <v>3347.85</v>
      </c>
      <c r="O242" t="n">
        <v>1027.4</v>
      </c>
      <c r="P242" t="n">
        <v>2320.45</v>
      </c>
      <c r="Q242" t="n">
        <v>69.31</v>
      </c>
      <c r="R242" t="inlineStr">
        <is>
          <t>Cash</t>
        </is>
      </c>
      <c r="S242" t="inlineStr">
        <is>
          <t>Returning</t>
        </is>
      </c>
    </row>
    <row r="243">
      <c r="A243" t="inlineStr">
        <is>
          <t>T100243</t>
        </is>
      </c>
      <c r="B243" s="10" t="n">
        <v>45323</v>
      </c>
      <c r="C243" t="inlineStr">
        <is>
          <t>S002</t>
        </is>
      </c>
      <c r="D243" t="inlineStr">
        <is>
          <t>Brickell</t>
        </is>
      </c>
      <c r="E243" t="inlineStr">
        <is>
          <t>Gabriel Samra</t>
        </is>
      </c>
      <c r="F243" t="inlineStr">
        <is>
          <t>GS001</t>
        </is>
      </c>
      <c r="G243" t="inlineStr">
        <is>
          <t>Keratin Treatment</t>
        </is>
      </c>
      <c r="H243" t="inlineStr">
        <is>
          <t>Hair Treatment</t>
        </is>
      </c>
      <c r="I243" t="inlineStr">
        <is>
          <t>Emma</t>
        </is>
      </c>
      <c r="J243" t="n">
        <v>49</v>
      </c>
      <c r="K243" t="n">
        <v>31.81</v>
      </c>
      <c r="L243" t="n">
        <v>65.23999999999999</v>
      </c>
      <c r="M243" t="n">
        <v>0</v>
      </c>
      <c r="N243" t="n">
        <v>3196.76</v>
      </c>
      <c r="O243" t="n">
        <v>1558.69</v>
      </c>
      <c r="P243" t="n">
        <v>1638.07</v>
      </c>
      <c r="Q243" t="n">
        <v>51.24</v>
      </c>
      <c r="R243" t="inlineStr">
        <is>
          <t>Credit Card</t>
        </is>
      </c>
      <c r="S243" t="inlineStr">
        <is>
          <t>Returning</t>
        </is>
      </c>
    </row>
    <row r="244">
      <c r="A244" t="inlineStr">
        <is>
          <t>T100244</t>
        </is>
      </c>
      <c r="B244" s="10" t="n">
        <v>45352</v>
      </c>
      <c r="C244" t="inlineStr">
        <is>
          <t>S002</t>
        </is>
      </c>
      <c r="D244" t="inlineStr">
        <is>
          <t>Brickell</t>
        </is>
      </c>
      <c r="E244" t="inlineStr">
        <is>
          <t>Gabriel Samra</t>
        </is>
      </c>
      <c r="F244" t="inlineStr">
        <is>
          <t>GS001</t>
        </is>
      </c>
      <c r="G244" t="inlineStr">
        <is>
          <t>Keratin Treatment</t>
        </is>
      </c>
      <c r="H244" t="inlineStr">
        <is>
          <t>Hair Treatment</t>
        </is>
      </c>
      <c r="I244" t="inlineStr">
        <is>
          <t>Sophia</t>
        </is>
      </c>
      <c r="J244" t="n">
        <v>100</v>
      </c>
      <c r="K244" t="n">
        <v>21.57</v>
      </c>
      <c r="L244" t="n">
        <v>47.78</v>
      </c>
      <c r="M244" t="n">
        <v>0</v>
      </c>
      <c r="N244" t="n">
        <v>4778</v>
      </c>
      <c r="O244" t="n">
        <v>2157</v>
      </c>
      <c r="P244" t="n">
        <v>2621</v>
      </c>
      <c r="Q244" t="n">
        <v>54.86</v>
      </c>
      <c r="R244" t="inlineStr">
        <is>
          <t>Apple Pay</t>
        </is>
      </c>
      <c r="S244" t="inlineStr">
        <is>
          <t>New</t>
        </is>
      </c>
    </row>
    <row r="245">
      <c r="A245" t="inlineStr">
        <is>
          <t>T100245</t>
        </is>
      </c>
      <c r="B245" s="10" t="n">
        <v>45383</v>
      </c>
      <c r="C245" t="inlineStr">
        <is>
          <t>S002</t>
        </is>
      </c>
      <c r="D245" t="inlineStr">
        <is>
          <t>Brickell</t>
        </is>
      </c>
      <c r="E245" t="inlineStr">
        <is>
          <t>Gabriel Samra</t>
        </is>
      </c>
      <c r="F245" t="inlineStr">
        <is>
          <t>GS001</t>
        </is>
      </c>
      <c r="G245" t="inlineStr">
        <is>
          <t>Keratin Treatment</t>
        </is>
      </c>
      <c r="H245" t="inlineStr">
        <is>
          <t>Hair Treatment</t>
        </is>
      </c>
      <c r="I245" t="inlineStr">
        <is>
          <t>Sophia</t>
        </is>
      </c>
      <c r="J245" t="n">
        <v>66</v>
      </c>
      <c r="K245" t="n">
        <v>13.3</v>
      </c>
      <c r="L245" t="n">
        <v>31.52</v>
      </c>
      <c r="M245" t="n">
        <v>0</v>
      </c>
      <c r="N245" t="n">
        <v>2080.32</v>
      </c>
      <c r="O245" t="n">
        <v>877.8</v>
      </c>
      <c r="P245" t="n">
        <v>1202.52</v>
      </c>
      <c r="Q245" t="n">
        <v>57.8</v>
      </c>
      <c r="R245" t="inlineStr">
        <is>
          <t>Credit Card</t>
        </is>
      </c>
      <c r="S245" t="inlineStr">
        <is>
          <t>New</t>
        </is>
      </c>
    </row>
    <row r="246">
      <c r="A246" t="inlineStr">
        <is>
          <t>T100246</t>
        </is>
      </c>
      <c r="B246" s="10" t="n">
        <v>45413</v>
      </c>
      <c r="C246" t="inlineStr">
        <is>
          <t>S002</t>
        </is>
      </c>
      <c r="D246" t="inlineStr">
        <is>
          <t>Brickell</t>
        </is>
      </c>
      <c r="E246" t="inlineStr">
        <is>
          <t>Gabriel Samra</t>
        </is>
      </c>
      <c r="F246" t="inlineStr">
        <is>
          <t>GS001</t>
        </is>
      </c>
      <c r="G246" t="inlineStr">
        <is>
          <t>Keratin Treatment</t>
        </is>
      </c>
      <c r="H246" t="inlineStr">
        <is>
          <t>Hair Treatment</t>
        </is>
      </c>
      <c r="I246" t="inlineStr">
        <is>
          <t>Olivia</t>
        </is>
      </c>
      <c r="J246" t="n">
        <v>65</v>
      </c>
      <c r="K246" t="n">
        <v>32.02</v>
      </c>
      <c r="L246" t="n">
        <v>77.65000000000001</v>
      </c>
      <c r="M246" t="n">
        <v>5</v>
      </c>
      <c r="N246" t="n">
        <v>5047.25</v>
      </c>
      <c r="O246" t="n">
        <v>2081.3</v>
      </c>
      <c r="P246" t="n">
        <v>2965.95</v>
      </c>
      <c r="Q246" t="n">
        <v>58.76</v>
      </c>
      <c r="R246" t="inlineStr">
        <is>
          <t>Apple Pay</t>
        </is>
      </c>
      <c r="S246" t="inlineStr">
        <is>
          <t>New</t>
        </is>
      </c>
    </row>
    <row r="247">
      <c r="A247" t="inlineStr">
        <is>
          <t>T100247</t>
        </is>
      </c>
      <c r="B247" s="10" t="n">
        <v>45444</v>
      </c>
      <c r="C247" t="inlineStr">
        <is>
          <t>S002</t>
        </is>
      </c>
      <c r="D247" t="inlineStr">
        <is>
          <t>Brickell</t>
        </is>
      </c>
      <c r="E247" t="inlineStr">
        <is>
          <t>Gabriel Samra</t>
        </is>
      </c>
      <c r="F247" t="inlineStr">
        <is>
          <t>GS001</t>
        </is>
      </c>
      <c r="G247" t="inlineStr">
        <is>
          <t>Keratin Treatment</t>
        </is>
      </c>
      <c r="H247" t="inlineStr">
        <is>
          <t>Hair Treatment</t>
        </is>
      </c>
      <c r="I247" t="inlineStr">
        <is>
          <t>Daniel</t>
        </is>
      </c>
      <c r="J247" t="n">
        <v>74</v>
      </c>
      <c r="K247" t="n">
        <v>14.11</v>
      </c>
      <c r="L247" t="n">
        <v>38.79</v>
      </c>
      <c r="M247" t="n">
        <v>0</v>
      </c>
      <c r="N247" t="n">
        <v>2870.46</v>
      </c>
      <c r="O247" t="n">
        <v>1044.14</v>
      </c>
      <c r="P247" t="n">
        <v>1826.32</v>
      </c>
      <c r="Q247" t="n">
        <v>63.62</v>
      </c>
      <c r="R247" t="inlineStr">
        <is>
          <t>Cash</t>
        </is>
      </c>
      <c r="S247" t="inlineStr">
        <is>
          <t>Returning</t>
        </is>
      </c>
    </row>
    <row r="248">
      <c r="A248" t="inlineStr">
        <is>
          <t>T100248</t>
        </is>
      </c>
      <c r="B248" s="10" t="n">
        <v>45474</v>
      </c>
      <c r="C248" t="inlineStr">
        <is>
          <t>S002</t>
        </is>
      </c>
      <c r="D248" t="inlineStr">
        <is>
          <t>Brickell</t>
        </is>
      </c>
      <c r="E248" t="inlineStr">
        <is>
          <t>Gabriel Samra</t>
        </is>
      </c>
      <c r="F248" t="inlineStr">
        <is>
          <t>GS001</t>
        </is>
      </c>
      <c r="G248" t="inlineStr">
        <is>
          <t>Keratin Treatment</t>
        </is>
      </c>
      <c r="H248" t="inlineStr">
        <is>
          <t>Hair Treatment</t>
        </is>
      </c>
      <c r="I248" t="inlineStr">
        <is>
          <t>Lucas</t>
        </is>
      </c>
      <c r="J248" t="n">
        <v>73</v>
      </c>
      <c r="K248" t="n">
        <v>28.96</v>
      </c>
      <c r="L248" t="n">
        <v>76.23999999999999</v>
      </c>
      <c r="M248" t="n">
        <v>0</v>
      </c>
      <c r="N248" t="n">
        <v>5565.52</v>
      </c>
      <c r="O248" t="n">
        <v>2114.08</v>
      </c>
      <c r="P248" t="n">
        <v>3451.44</v>
      </c>
      <c r="Q248" t="n">
        <v>62.01</v>
      </c>
      <c r="R248" t="inlineStr">
        <is>
          <t>Apple Pay</t>
        </is>
      </c>
      <c r="S248" t="inlineStr">
        <is>
          <t>Returning</t>
        </is>
      </c>
    </row>
    <row r="249">
      <c r="A249" t="inlineStr">
        <is>
          <t>T100249</t>
        </is>
      </c>
      <c r="B249" s="10" t="n">
        <v>45505</v>
      </c>
      <c r="C249" t="inlineStr">
        <is>
          <t>S002</t>
        </is>
      </c>
      <c r="D249" t="inlineStr">
        <is>
          <t>Brickell</t>
        </is>
      </c>
      <c r="E249" t="inlineStr">
        <is>
          <t>Gabriel Samra</t>
        </is>
      </c>
      <c r="F249" t="inlineStr">
        <is>
          <t>GS001</t>
        </is>
      </c>
      <c r="G249" t="inlineStr">
        <is>
          <t>Keratin Treatment</t>
        </is>
      </c>
      <c r="H249" t="inlineStr">
        <is>
          <t>Hair Treatment</t>
        </is>
      </c>
      <c r="I249" t="inlineStr">
        <is>
          <t>Daniel</t>
        </is>
      </c>
      <c r="J249" t="n">
        <v>86</v>
      </c>
      <c r="K249" t="n">
        <v>30.54</v>
      </c>
      <c r="L249" t="n">
        <v>77.16</v>
      </c>
      <c r="M249" t="n">
        <v>5</v>
      </c>
      <c r="N249" t="n">
        <v>6635.76</v>
      </c>
      <c r="O249" t="n">
        <v>2626.44</v>
      </c>
      <c r="P249" t="n">
        <v>4009.32</v>
      </c>
      <c r="Q249" t="n">
        <v>60.42</v>
      </c>
      <c r="R249" t="inlineStr">
        <is>
          <t>Credit Card</t>
        </is>
      </c>
      <c r="S249" t="inlineStr">
        <is>
          <t>New</t>
        </is>
      </c>
    </row>
    <row r="250">
      <c r="A250" t="inlineStr">
        <is>
          <t>T100250</t>
        </is>
      </c>
      <c r="B250" s="10" t="n">
        <v>45536</v>
      </c>
      <c r="C250" t="inlineStr">
        <is>
          <t>S002</t>
        </is>
      </c>
      <c r="D250" t="inlineStr">
        <is>
          <t>Brickell</t>
        </is>
      </c>
      <c r="E250" t="inlineStr">
        <is>
          <t>Gabriel Samra</t>
        </is>
      </c>
      <c r="F250" t="inlineStr">
        <is>
          <t>GS001</t>
        </is>
      </c>
      <c r="G250" t="inlineStr">
        <is>
          <t>Keratin Treatment</t>
        </is>
      </c>
      <c r="H250" t="inlineStr">
        <is>
          <t>Hair Treatment</t>
        </is>
      </c>
      <c r="I250" t="inlineStr">
        <is>
          <t>Lucas</t>
        </is>
      </c>
      <c r="J250" t="n">
        <v>75</v>
      </c>
      <c r="K250" t="n">
        <v>26.73</v>
      </c>
      <c r="L250" t="n">
        <v>91.83</v>
      </c>
      <c r="M250" t="n">
        <v>0</v>
      </c>
      <c r="N250" t="n">
        <v>6887.25</v>
      </c>
      <c r="O250" t="n">
        <v>2004.75</v>
      </c>
      <c r="P250" t="n">
        <v>4882.5</v>
      </c>
      <c r="Q250" t="n">
        <v>70.89</v>
      </c>
      <c r="R250" t="inlineStr">
        <is>
          <t>Cash</t>
        </is>
      </c>
      <c r="S250" t="inlineStr">
        <is>
          <t>New</t>
        </is>
      </c>
    </row>
    <row r="251">
      <c r="A251" t="inlineStr">
        <is>
          <t>T100251</t>
        </is>
      </c>
      <c r="B251" s="10" t="n">
        <v>45566</v>
      </c>
      <c r="C251" t="inlineStr">
        <is>
          <t>S002</t>
        </is>
      </c>
      <c r="D251" t="inlineStr">
        <is>
          <t>Brickell</t>
        </is>
      </c>
      <c r="E251" t="inlineStr">
        <is>
          <t>Gabriel Samra</t>
        </is>
      </c>
      <c r="F251" t="inlineStr">
        <is>
          <t>GS001</t>
        </is>
      </c>
      <c r="G251" t="inlineStr">
        <is>
          <t>Keratin Treatment</t>
        </is>
      </c>
      <c r="H251" t="inlineStr">
        <is>
          <t>Hair Treatment</t>
        </is>
      </c>
      <c r="I251" t="inlineStr">
        <is>
          <t>Sophia</t>
        </is>
      </c>
      <c r="J251" t="n">
        <v>96</v>
      </c>
      <c r="K251" t="n">
        <v>32.01</v>
      </c>
      <c r="L251" t="n">
        <v>93.98</v>
      </c>
      <c r="M251" t="n">
        <v>0</v>
      </c>
      <c r="N251" t="n">
        <v>9022.08</v>
      </c>
      <c r="O251" t="n">
        <v>3072.96</v>
      </c>
      <c r="P251" t="n">
        <v>5949.12</v>
      </c>
      <c r="Q251" t="n">
        <v>65.94</v>
      </c>
      <c r="R251" t="inlineStr">
        <is>
          <t>Cash</t>
        </is>
      </c>
      <c r="S251" t="inlineStr">
        <is>
          <t>New</t>
        </is>
      </c>
    </row>
    <row r="252">
      <c r="A252" t="inlineStr">
        <is>
          <t>T100252</t>
        </is>
      </c>
      <c r="B252" s="10" t="n">
        <v>45597</v>
      </c>
      <c r="C252" t="inlineStr">
        <is>
          <t>S002</t>
        </is>
      </c>
      <c r="D252" t="inlineStr">
        <is>
          <t>Brickell</t>
        </is>
      </c>
      <c r="E252" t="inlineStr">
        <is>
          <t>Gabriel Samra</t>
        </is>
      </c>
      <c r="F252" t="inlineStr">
        <is>
          <t>GS001</t>
        </is>
      </c>
      <c r="G252" t="inlineStr">
        <is>
          <t>Keratin Treatment</t>
        </is>
      </c>
      <c r="H252" t="inlineStr">
        <is>
          <t>Hair Treatment</t>
        </is>
      </c>
      <c r="I252" t="inlineStr">
        <is>
          <t>Daniel</t>
        </is>
      </c>
      <c r="J252" t="n">
        <v>106</v>
      </c>
      <c r="K252" t="n">
        <v>27.96</v>
      </c>
      <c r="L252" t="n">
        <v>63.21</v>
      </c>
      <c r="M252" t="n">
        <v>0</v>
      </c>
      <c r="N252" t="n">
        <v>6700.26</v>
      </c>
      <c r="O252" t="n">
        <v>2963.76</v>
      </c>
      <c r="P252" t="n">
        <v>3736.5</v>
      </c>
      <c r="Q252" t="n">
        <v>55.77</v>
      </c>
      <c r="R252" t="inlineStr">
        <is>
          <t>Credit Card</t>
        </is>
      </c>
      <c r="S252" t="inlineStr">
        <is>
          <t>Returning</t>
        </is>
      </c>
    </row>
    <row r="253">
      <c r="A253" t="inlineStr">
        <is>
          <t>T100253</t>
        </is>
      </c>
      <c r="B253" s="10" t="n">
        <v>45627</v>
      </c>
      <c r="C253" t="inlineStr">
        <is>
          <t>S002</t>
        </is>
      </c>
      <c r="D253" t="inlineStr">
        <is>
          <t>Brickell</t>
        </is>
      </c>
      <c r="E253" t="inlineStr">
        <is>
          <t>Gabriel Samra</t>
        </is>
      </c>
      <c r="F253" t="inlineStr">
        <is>
          <t>GS001</t>
        </is>
      </c>
      <c r="G253" t="inlineStr">
        <is>
          <t>Keratin Treatment</t>
        </is>
      </c>
      <c r="H253" t="inlineStr">
        <is>
          <t>Hair Treatment</t>
        </is>
      </c>
      <c r="I253" t="inlineStr">
        <is>
          <t>Lucas</t>
        </is>
      </c>
      <c r="J253" t="n">
        <v>106</v>
      </c>
      <c r="K253" t="n">
        <v>29.92</v>
      </c>
      <c r="L253" t="n">
        <v>88.15000000000001</v>
      </c>
      <c r="M253" t="n">
        <v>0</v>
      </c>
      <c r="N253" t="n">
        <v>9343.9</v>
      </c>
      <c r="O253" t="n">
        <v>3171.52</v>
      </c>
      <c r="P253" t="n">
        <v>6172.38</v>
      </c>
      <c r="Q253" t="n">
        <v>66.06</v>
      </c>
      <c r="R253" t="inlineStr">
        <is>
          <t>Credit Card</t>
        </is>
      </c>
      <c r="S253" t="inlineStr">
        <is>
          <t>Returning</t>
        </is>
      </c>
    </row>
    <row r="254">
      <c r="A254" t="inlineStr">
        <is>
          <t>T100254</t>
        </is>
      </c>
      <c r="B254" s="10" t="n">
        <v>45658</v>
      </c>
      <c r="C254" t="inlineStr">
        <is>
          <t>S002</t>
        </is>
      </c>
      <c r="D254" t="inlineStr">
        <is>
          <t>Brickell</t>
        </is>
      </c>
      <c r="E254" t="inlineStr">
        <is>
          <t>Gabriel Samra</t>
        </is>
      </c>
      <c r="F254" t="inlineStr">
        <is>
          <t>GS001</t>
        </is>
      </c>
      <c r="G254" t="inlineStr">
        <is>
          <t>Keratin Treatment</t>
        </is>
      </c>
      <c r="H254" t="inlineStr">
        <is>
          <t>Hair Treatment</t>
        </is>
      </c>
      <c r="I254" t="inlineStr">
        <is>
          <t>Sophia</t>
        </is>
      </c>
      <c r="J254" t="n">
        <v>82</v>
      </c>
      <c r="K254" t="n">
        <v>17.2</v>
      </c>
      <c r="L254" t="n">
        <v>49.37</v>
      </c>
      <c r="M254" t="n">
        <v>5</v>
      </c>
      <c r="N254" t="n">
        <v>4048.34</v>
      </c>
      <c r="O254" t="n">
        <v>1410.4</v>
      </c>
      <c r="P254" t="n">
        <v>2637.94</v>
      </c>
      <c r="Q254" t="n">
        <v>65.16</v>
      </c>
      <c r="R254" t="inlineStr">
        <is>
          <t>Apple Pay</t>
        </is>
      </c>
      <c r="S254" t="inlineStr">
        <is>
          <t>New</t>
        </is>
      </c>
    </row>
    <row r="255">
      <c r="A255" t="inlineStr">
        <is>
          <t>T100255</t>
        </is>
      </c>
      <c r="B255" s="10" t="n">
        <v>45689</v>
      </c>
      <c r="C255" t="inlineStr">
        <is>
          <t>S002</t>
        </is>
      </c>
      <c r="D255" t="inlineStr">
        <is>
          <t>Brickell</t>
        </is>
      </c>
      <c r="E255" t="inlineStr">
        <is>
          <t>Gabriel Samra</t>
        </is>
      </c>
      <c r="F255" t="inlineStr">
        <is>
          <t>GS001</t>
        </is>
      </c>
      <c r="G255" t="inlineStr">
        <is>
          <t>Keratin Treatment</t>
        </is>
      </c>
      <c r="H255" t="inlineStr">
        <is>
          <t>Hair Treatment</t>
        </is>
      </c>
      <c r="I255" t="inlineStr">
        <is>
          <t>Daniel</t>
        </is>
      </c>
      <c r="J255" t="n">
        <v>106</v>
      </c>
      <c r="K255" t="n">
        <v>14.28</v>
      </c>
      <c r="L255" t="n">
        <v>29.23</v>
      </c>
      <c r="M255" t="n">
        <v>0</v>
      </c>
      <c r="N255" t="n">
        <v>3098.38</v>
      </c>
      <c r="O255" t="n">
        <v>1513.68</v>
      </c>
      <c r="P255" t="n">
        <v>1584.7</v>
      </c>
      <c r="Q255" t="n">
        <v>51.15</v>
      </c>
      <c r="R255" t="inlineStr">
        <is>
          <t>Apple Pay</t>
        </is>
      </c>
      <c r="S255" t="inlineStr">
        <is>
          <t>Returning</t>
        </is>
      </c>
    </row>
    <row r="256">
      <c r="A256" t="inlineStr">
        <is>
          <t>T100256</t>
        </is>
      </c>
      <c r="B256" s="10" t="n">
        <v>45717</v>
      </c>
      <c r="C256" t="inlineStr">
        <is>
          <t>S002</t>
        </is>
      </c>
      <c r="D256" t="inlineStr">
        <is>
          <t>Brickell</t>
        </is>
      </c>
      <c r="E256" t="inlineStr">
        <is>
          <t>Gabriel Samra</t>
        </is>
      </c>
      <c r="F256" t="inlineStr">
        <is>
          <t>GS001</t>
        </is>
      </c>
      <c r="G256" t="inlineStr">
        <is>
          <t>Keratin Treatment</t>
        </is>
      </c>
      <c r="H256" t="inlineStr">
        <is>
          <t>Hair Treatment</t>
        </is>
      </c>
      <c r="I256" t="inlineStr">
        <is>
          <t>Sophia</t>
        </is>
      </c>
      <c r="J256" t="n">
        <v>126</v>
      </c>
      <c r="K256" t="n">
        <v>17.05</v>
      </c>
      <c r="L256" t="n">
        <v>40.17</v>
      </c>
      <c r="M256" t="n">
        <v>0</v>
      </c>
      <c r="N256" t="n">
        <v>5061.42</v>
      </c>
      <c r="O256" t="n">
        <v>2148.3</v>
      </c>
      <c r="P256" t="n">
        <v>2913.12</v>
      </c>
      <c r="Q256" t="n">
        <v>57.56</v>
      </c>
      <c r="R256" t="inlineStr">
        <is>
          <t>Credit Card</t>
        </is>
      </c>
      <c r="S256" t="inlineStr">
        <is>
          <t>New</t>
        </is>
      </c>
    </row>
    <row r="257">
      <c r="A257" t="inlineStr">
        <is>
          <t>T100257</t>
        </is>
      </c>
      <c r="B257" s="10" t="n">
        <v>45748</v>
      </c>
      <c r="C257" t="inlineStr">
        <is>
          <t>S002</t>
        </is>
      </c>
      <c r="D257" t="inlineStr">
        <is>
          <t>Brickell</t>
        </is>
      </c>
      <c r="E257" t="inlineStr">
        <is>
          <t>Gabriel Samra</t>
        </is>
      </c>
      <c r="F257" t="inlineStr">
        <is>
          <t>GS001</t>
        </is>
      </c>
      <c r="G257" t="inlineStr">
        <is>
          <t>Keratin Treatment</t>
        </is>
      </c>
      <c r="H257" t="inlineStr">
        <is>
          <t>Hair Treatment</t>
        </is>
      </c>
      <c r="I257" t="inlineStr">
        <is>
          <t>Emma</t>
        </is>
      </c>
      <c r="J257" t="n">
        <v>113</v>
      </c>
      <c r="K257" t="n">
        <v>17.48</v>
      </c>
      <c r="L257" t="n">
        <v>56.56</v>
      </c>
      <c r="M257" t="n">
        <v>5</v>
      </c>
      <c r="N257" t="n">
        <v>6391.28</v>
      </c>
      <c r="O257" t="n">
        <v>1975.24</v>
      </c>
      <c r="P257" t="n">
        <v>4416.04</v>
      </c>
      <c r="Q257" t="n">
        <v>69.09</v>
      </c>
      <c r="R257" t="inlineStr">
        <is>
          <t>Cash</t>
        </is>
      </c>
      <c r="S257" t="inlineStr">
        <is>
          <t>Returning</t>
        </is>
      </c>
    </row>
    <row r="258">
      <c r="A258" t="inlineStr">
        <is>
          <t>T100258</t>
        </is>
      </c>
      <c r="B258" s="10" t="n">
        <v>45778</v>
      </c>
      <c r="C258" t="inlineStr">
        <is>
          <t>S002</t>
        </is>
      </c>
      <c r="D258" t="inlineStr">
        <is>
          <t>Brickell</t>
        </is>
      </c>
      <c r="E258" t="inlineStr">
        <is>
          <t>Gabriel Samra</t>
        </is>
      </c>
      <c r="F258" t="inlineStr">
        <is>
          <t>GS001</t>
        </is>
      </c>
      <c r="G258" t="inlineStr">
        <is>
          <t>Keratin Treatment</t>
        </is>
      </c>
      <c r="H258" t="inlineStr">
        <is>
          <t>Hair Treatment</t>
        </is>
      </c>
      <c r="I258" t="inlineStr">
        <is>
          <t>Olivia</t>
        </is>
      </c>
      <c r="J258" t="n">
        <v>136</v>
      </c>
      <c r="K258" t="n">
        <v>25.42</v>
      </c>
      <c r="L258" t="n">
        <v>66.59999999999999</v>
      </c>
      <c r="M258" t="n">
        <v>0</v>
      </c>
      <c r="N258" t="n">
        <v>9057.6</v>
      </c>
      <c r="O258" t="n">
        <v>3457.12</v>
      </c>
      <c r="P258" t="n">
        <v>5600.48</v>
      </c>
      <c r="Q258" t="n">
        <v>61.83</v>
      </c>
      <c r="R258" t="inlineStr">
        <is>
          <t>Apple Pay</t>
        </is>
      </c>
      <c r="S258" t="inlineStr">
        <is>
          <t>Returning</t>
        </is>
      </c>
    </row>
    <row r="259">
      <c r="A259" t="inlineStr">
        <is>
          <t>T100259</t>
        </is>
      </c>
      <c r="B259" s="10" t="n">
        <v>45809</v>
      </c>
      <c r="C259" t="inlineStr">
        <is>
          <t>S002</t>
        </is>
      </c>
      <c r="D259" t="inlineStr">
        <is>
          <t>Brickell</t>
        </is>
      </c>
      <c r="E259" t="inlineStr">
        <is>
          <t>Gabriel Samra</t>
        </is>
      </c>
      <c r="F259" t="inlineStr">
        <is>
          <t>GS001</t>
        </is>
      </c>
      <c r="G259" t="inlineStr">
        <is>
          <t>Keratin Treatment</t>
        </is>
      </c>
      <c r="H259" t="inlineStr">
        <is>
          <t>Hair Treatment</t>
        </is>
      </c>
      <c r="I259" t="inlineStr">
        <is>
          <t>Olivia</t>
        </is>
      </c>
      <c r="J259" t="n">
        <v>126</v>
      </c>
      <c r="K259" t="n">
        <v>25.47</v>
      </c>
      <c r="L259" t="n">
        <v>83.17</v>
      </c>
      <c r="M259" t="n">
        <v>0</v>
      </c>
      <c r="N259" t="n">
        <v>10479.42</v>
      </c>
      <c r="O259" t="n">
        <v>3209.22</v>
      </c>
      <c r="P259" t="n">
        <v>7270.2</v>
      </c>
      <c r="Q259" t="n">
        <v>69.38</v>
      </c>
      <c r="R259" t="inlineStr">
        <is>
          <t>Apple Pay</t>
        </is>
      </c>
      <c r="S259" t="inlineStr">
        <is>
          <t>Returning</t>
        </is>
      </c>
    </row>
    <row r="260">
      <c r="A260" t="inlineStr">
        <is>
          <t>T100260</t>
        </is>
      </c>
      <c r="B260" s="10" t="n">
        <v>45292</v>
      </c>
      <c r="C260" t="inlineStr">
        <is>
          <t>S002</t>
        </is>
      </c>
      <c r="D260" t="inlineStr">
        <is>
          <t>Brickell</t>
        </is>
      </c>
      <c r="E260" t="inlineStr">
        <is>
          <t>Gabriel Samra</t>
        </is>
      </c>
      <c r="F260" t="inlineStr">
        <is>
          <t>GS002</t>
        </is>
      </c>
      <c r="G260" t="inlineStr">
        <is>
          <t>Hydration Shampoo</t>
        </is>
      </c>
      <c r="H260" t="inlineStr">
        <is>
          <t>Hair Care</t>
        </is>
      </c>
      <c r="I260" t="inlineStr">
        <is>
          <t>Lucas</t>
        </is>
      </c>
      <c r="J260" t="n">
        <v>31</v>
      </c>
      <c r="K260" t="n">
        <v>23.02</v>
      </c>
      <c r="L260" t="n">
        <v>64.68000000000001</v>
      </c>
      <c r="M260" t="n">
        <v>5</v>
      </c>
      <c r="N260" t="n">
        <v>2005.08</v>
      </c>
      <c r="O260" t="n">
        <v>713.62</v>
      </c>
      <c r="P260" t="n">
        <v>1291.46</v>
      </c>
      <c r="Q260" t="n">
        <v>64.41</v>
      </c>
      <c r="R260" t="inlineStr">
        <is>
          <t>Cash</t>
        </is>
      </c>
      <c r="S260" t="inlineStr">
        <is>
          <t>New</t>
        </is>
      </c>
    </row>
    <row r="261">
      <c r="A261" t="inlineStr">
        <is>
          <t>T100261</t>
        </is>
      </c>
      <c r="B261" s="10" t="n">
        <v>45323</v>
      </c>
      <c r="C261" t="inlineStr">
        <is>
          <t>S002</t>
        </is>
      </c>
      <c r="D261" t="inlineStr">
        <is>
          <t>Brickell</t>
        </is>
      </c>
      <c r="E261" t="inlineStr">
        <is>
          <t>Gabriel Samra</t>
        </is>
      </c>
      <c r="F261" t="inlineStr">
        <is>
          <t>GS002</t>
        </is>
      </c>
      <c r="G261" t="inlineStr">
        <is>
          <t>Hydration Shampoo</t>
        </is>
      </c>
      <c r="H261" t="inlineStr">
        <is>
          <t>Hair Care</t>
        </is>
      </c>
      <c r="I261" t="inlineStr">
        <is>
          <t>Daniel</t>
        </is>
      </c>
      <c r="J261" t="n">
        <v>29</v>
      </c>
      <c r="K261" t="n">
        <v>22.42</v>
      </c>
      <c r="L261" t="n">
        <v>77.06999999999999</v>
      </c>
      <c r="M261" t="n">
        <v>10</v>
      </c>
      <c r="N261" t="n">
        <v>2235.03</v>
      </c>
      <c r="O261" t="n">
        <v>650.1799999999999</v>
      </c>
      <c r="P261" t="n">
        <v>1584.85</v>
      </c>
      <c r="Q261" t="n">
        <v>70.91</v>
      </c>
      <c r="R261" t="inlineStr">
        <is>
          <t>Credit Card</t>
        </is>
      </c>
      <c r="S261" t="inlineStr">
        <is>
          <t>Returning</t>
        </is>
      </c>
    </row>
    <row r="262">
      <c r="A262" t="inlineStr">
        <is>
          <t>T100262</t>
        </is>
      </c>
      <c r="B262" s="10" t="n">
        <v>45352</v>
      </c>
      <c r="C262" t="inlineStr">
        <is>
          <t>S002</t>
        </is>
      </c>
      <c r="D262" t="inlineStr">
        <is>
          <t>Brickell</t>
        </is>
      </c>
      <c r="E262" t="inlineStr">
        <is>
          <t>Gabriel Samra</t>
        </is>
      </c>
      <c r="F262" t="inlineStr">
        <is>
          <t>GS002</t>
        </is>
      </c>
      <c r="G262" t="inlineStr">
        <is>
          <t>Hydration Shampoo</t>
        </is>
      </c>
      <c r="H262" t="inlineStr">
        <is>
          <t>Hair Care</t>
        </is>
      </c>
      <c r="I262" t="inlineStr">
        <is>
          <t>Sophia</t>
        </is>
      </c>
      <c r="J262" t="n">
        <v>35</v>
      </c>
      <c r="K262" t="n">
        <v>31.07</v>
      </c>
      <c r="L262" t="n">
        <v>97.67</v>
      </c>
      <c r="M262" t="n">
        <v>0</v>
      </c>
      <c r="N262" t="n">
        <v>3418.45</v>
      </c>
      <c r="O262" t="n">
        <v>1087.45</v>
      </c>
      <c r="P262" t="n">
        <v>2331</v>
      </c>
      <c r="Q262" t="n">
        <v>68.19</v>
      </c>
      <c r="R262" t="inlineStr">
        <is>
          <t>Apple Pay</t>
        </is>
      </c>
      <c r="S262" t="inlineStr">
        <is>
          <t>New</t>
        </is>
      </c>
    </row>
    <row r="263">
      <c r="A263" t="inlineStr">
        <is>
          <t>T100263</t>
        </is>
      </c>
      <c r="B263" s="10" t="n">
        <v>45383</v>
      </c>
      <c r="C263" t="inlineStr">
        <is>
          <t>S002</t>
        </is>
      </c>
      <c r="D263" t="inlineStr">
        <is>
          <t>Brickell</t>
        </is>
      </c>
      <c r="E263" t="inlineStr">
        <is>
          <t>Gabriel Samra</t>
        </is>
      </c>
      <c r="F263" t="inlineStr">
        <is>
          <t>GS002</t>
        </is>
      </c>
      <c r="G263" t="inlineStr">
        <is>
          <t>Hydration Shampoo</t>
        </is>
      </c>
      <c r="H263" t="inlineStr">
        <is>
          <t>Hair Care</t>
        </is>
      </c>
      <c r="I263" t="inlineStr">
        <is>
          <t>Olivia</t>
        </is>
      </c>
      <c r="J263" t="n">
        <v>34</v>
      </c>
      <c r="K263" t="n">
        <v>15.07</v>
      </c>
      <c r="L263" t="n">
        <v>52.57</v>
      </c>
      <c r="M263" t="n">
        <v>0</v>
      </c>
      <c r="N263" t="n">
        <v>1787.38</v>
      </c>
      <c r="O263" t="n">
        <v>512.38</v>
      </c>
      <c r="P263" t="n">
        <v>1275</v>
      </c>
      <c r="Q263" t="n">
        <v>71.33</v>
      </c>
      <c r="R263" t="inlineStr">
        <is>
          <t>Apple Pay</t>
        </is>
      </c>
      <c r="S263" t="inlineStr">
        <is>
          <t>Returning</t>
        </is>
      </c>
    </row>
    <row r="264">
      <c r="A264" t="inlineStr">
        <is>
          <t>T100264</t>
        </is>
      </c>
      <c r="B264" s="10" t="n">
        <v>45413</v>
      </c>
      <c r="C264" t="inlineStr">
        <is>
          <t>S002</t>
        </is>
      </c>
      <c r="D264" t="inlineStr">
        <is>
          <t>Brickell</t>
        </is>
      </c>
      <c r="E264" t="inlineStr">
        <is>
          <t>Gabriel Samra</t>
        </is>
      </c>
      <c r="F264" t="inlineStr">
        <is>
          <t>GS002</t>
        </is>
      </c>
      <c r="G264" t="inlineStr">
        <is>
          <t>Hydration Shampoo</t>
        </is>
      </c>
      <c r="H264" t="inlineStr">
        <is>
          <t>Hair Care</t>
        </is>
      </c>
      <c r="I264" t="inlineStr">
        <is>
          <t>Sophia</t>
        </is>
      </c>
      <c r="J264" t="n">
        <v>41</v>
      </c>
      <c r="K264" t="n">
        <v>27.67</v>
      </c>
      <c r="L264" t="n">
        <v>76.84</v>
      </c>
      <c r="M264" t="n">
        <v>10</v>
      </c>
      <c r="N264" t="n">
        <v>3150.44</v>
      </c>
      <c r="O264" t="n">
        <v>1134.47</v>
      </c>
      <c r="P264" t="n">
        <v>2015.97</v>
      </c>
      <c r="Q264" t="n">
        <v>63.99</v>
      </c>
      <c r="R264" t="inlineStr">
        <is>
          <t>Apple Pay</t>
        </is>
      </c>
      <c r="S264" t="inlineStr">
        <is>
          <t>New</t>
        </is>
      </c>
    </row>
    <row r="265">
      <c r="A265" t="inlineStr">
        <is>
          <t>T100265</t>
        </is>
      </c>
      <c r="B265" s="10" t="n">
        <v>45444</v>
      </c>
      <c r="C265" t="inlineStr">
        <is>
          <t>S002</t>
        </is>
      </c>
      <c r="D265" t="inlineStr">
        <is>
          <t>Brickell</t>
        </is>
      </c>
      <c r="E265" t="inlineStr">
        <is>
          <t>Gabriel Samra</t>
        </is>
      </c>
      <c r="F265" t="inlineStr">
        <is>
          <t>GS002</t>
        </is>
      </c>
      <c r="G265" t="inlineStr">
        <is>
          <t>Hydration Shampoo</t>
        </is>
      </c>
      <c r="H265" t="inlineStr">
        <is>
          <t>Hair Care</t>
        </is>
      </c>
      <c r="I265" t="inlineStr">
        <is>
          <t>Emma</t>
        </is>
      </c>
      <c r="J265" t="n">
        <v>43</v>
      </c>
      <c r="K265" t="n">
        <v>19.38</v>
      </c>
      <c r="L265" t="n">
        <v>61.49</v>
      </c>
      <c r="M265" t="n">
        <v>5</v>
      </c>
      <c r="N265" t="n">
        <v>2644.07</v>
      </c>
      <c r="O265" t="n">
        <v>833.34</v>
      </c>
      <c r="P265" t="n">
        <v>1810.73</v>
      </c>
      <c r="Q265" t="n">
        <v>68.48</v>
      </c>
      <c r="R265" t="inlineStr">
        <is>
          <t>Apple Pay</t>
        </is>
      </c>
      <c r="S265" t="inlineStr">
        <is>
          <t>Returning</t>
        </is>
      </c>
    </row>
    <row r="266">
      <c r="A266" t="inlineStr">
        <is>
          <t>T100266</t>
        </is>
      </c>
      <c r="B266" s="10" t="n">
        <v>45474</v>
      </c>
      <c r="C266" t="inlineStr">
        <is>
          <t>S002</t>
        </is>
      </c>
      <c r="D266" t="inlineStr">
        <is>
          <t>Brickell</t>
        </is>
      </c>
      <c r="E266" t="inlineStr">
        <is>
          <t>Gabriel Samra</t>
        </is>
      </c>
      <c r="F266" t="inlineStr">
        <is>
          <t>GS002</t>
        </is>
      </c>
      <c r="G266" t="inlineStr">
        <is>
          <t>Hydration Shampoo</t>
        </is>
      </c>
      <c r="H266" t="inlineStr">
        <is>
          <t>Hair Care</t>
        </is>
      </c>
      <c r="I266" t="inlineStr">
        <is>
          <t>Sophia</t>
        </is>
      </c>
      <c r="J266" t="n">
        <v>49</v>
      </c>
      <c r="K266" t="n">
        <v>21</v>
      </c>
      <c r="L266" t="n">
        <v>71.84999999999999</v>
      </c>
      <c r="M266" t="n">
        <v>0</v>
      </c>
      <c r="N266" t="n">
        <v>3520.65</v>
      </c>
      <c r="O266" t="n">
        <v>1029</v>
      </c>
      <c r="P266" t="n">
        <v>2491.65</v>
      </c>
      <c r="Q266" t="n">
        <v>70.77</v>
      </c>
      <c r="R266" t="inlineStr">
        <is>
          <t>Credit Card</t>
        </is>
      </c>
      <c r="S266" t="inlineStr">
        <is>
          <t>Returning</t>
        </is>
      </c>
    </row>
    <row r="267">
      <c r="A267" t="inlineStr">
        <is>
          <t>T100267</t>
        </is>
      </c>
      <c r="B267" s="10" t="n">
        <v>45505</v>
      </c>
      <c r="C267" t="inlineStr">
        <is>
          <t>S002</t>
        </is>
      </c>
      <c r="D267" t="inlineStr">
        <is>
          <t>Brickell</t>
        </is>
      </c>
      <c r="E267" t="inlineStr">
        <is>
          <t>Gabriel Samra</t>
        </is>
      </c>
      <c r="F267" t="inlineStr">
        <is>
          <t>GS002</t>
        </is>
      </c>
      <c r="G267" t="inlineStr">
        <is>
          <t>Hydration Shampoo</t>
        </is>
      </c>
      <c r="H267" t="inlineStr">
        <is>
          <t>Hair Care</t>
        </is>
      </c>
      <c r="I267" t="inlineStr">
        <is>
          <t>Olivia</t>
        </is>
      </c>
      <c r="J267" t="n">
        <v>46</v>
      </c>
      <c r="K267" t="n">
        <v>26.75</v>
      </c>
      <c r="L267" t="n">
        <v>82.29000000000001</v>
      </c>
      <c r="M267" t="n">
        <v>0</v>
      </c>
      <c r="N267" t="n">
        <v>3785.34</v>
      </c>
      <c r="O267" t="n">
        <v>1230.5</v>
      </c>
      <c r="P267" t="n">
        <v>2554.84</v>
      </c>
      <c r="Q267" t="n">
        <v>67.48999999999999</v>
      </c>
      <c r="R267" t="inlineStr">
        <is>
          <t>Apple Pay</t>
        </is>
      </c>
      <c r="S267" t="inlineStr">
        <is>
          <t>New</t>
        </is>
      </c>
    </row>
    <row r="268">
      <c r="A268" t="inlineStr">
        <is>
          <t>T100268</t>
        </is>
      </c>
      <c r="B268" s="10" t="n">
        <v>45536</v>
      </c>
      <c r="C268" t="inlineStr">
        <is>
          <t>S002</t>
        </is>
      </c>
      <c r="D268" t="inlineStr">
        <is>
          <t>Brickell</t>
        </is>
      </c>
      <c r="E268" t="inlineStr">
        <is>
          <t>Gabriel Samra</t>
        </is>
      </c>
      <c r="F268" t="inlineStr">
        <is>
          <t>GS002</t>
        </is>
      </c>
      <c r="G268" t="inlineStr">
        <is>
          <t>Hydration Shampoo</t>
        </is>
      </c>
      <c r="H268" t="inlineStr">
        <is>
          <t>Hair Care</t>
        </is>
      </c>
      <c r="I268" t="inlineStr">
        <is>
          <t>Sophia</t>
        </is>
      </c>
      <c r="J268" t="n">
        <v>61</v>
      </c>
      <c r="K268" t="n">
        <v>31.4</v>
      </c>
      <c r="L268" t="n">
        <v>98.02</v>
      </c>
      <c r="M268" t="n">
        <v>5</v>
      </c>
      <c r="N268" t="n">
        <v>5979.22</v>
      </c>
      <c r="O268" t="n">
        <v>1915.4</v>
      </c>
      <c r="P268" t="n">
        <v>4063.82</v>
      </c>
      <c r="Q268" t="n">
        <v>67.97</v>
      </c>
      <c r="R268" t="inlineStr">
        <is>
          <t>Credit Card</t>
        </is>
      </c>
      <c r="S268" t="inlineStr">
        <is>
          <t>New</t>
        </is>
      </c>
    </row>
    <row r="269">
      <c r="A269" t="inlineStr">
        <is>
          <t>T100269</t>
        </is>
      </c>
      <c r="B269" s="10" t="n">
        <v>45566</v>
      </c>
      <c r="C269" t="inlineStr">
        <is>
          <t>S002</t>
        </is>
      </c>
      <c r="D269" t="inlineStr">
        <is>
          <t>Brickell</t>
        </is>
      </c>
      <c r="E269" t="inlineStr">
        <is>
          <t>Gabriel Samra</t>
        </is>
      </c>
      <c r="F269" t="inlineStr">
        <is>
          <t>GS002</t>
        </is>
      </c>
      <c r="G269" t="inlineStr">
        <is>
          <t>Hydration Shampoo</t>
        </is>
      </c>
      <c r="H269" t="inlineStr">
        <is>
          <t>Hair Care</t>
        </is>
      </c>
      <c r="I269" t="inlineStr">
        <is>
          <t>Olivia</t>
        </is>
      </c>
      <c r="J269" t="n">
        <v>60</v>
      </c>
      <c r="K269" t="n">
        <v>12.16</v>
      </c>
      <c r="L269" t="n">
        <v>36.1</v>
      </c>
      <c r="M269" t="n">
        <v>10</v>
      </c>
      <c r="N269" t="n">
        <v>2166</v>
      </c>
      <c r="O269" t="n">
        <v>729.6</v>
      </c>
      <c r="P269" t="n">
        <v>1436.4</v>
      </c>
      <c r="Q269" t="n">
        <v>66.31999999999999</v>
      </c>
      <c r="R269" t="inlineStr">
        <is>
          <t>Cash</t>
        </is>
      </c>
      <c r="S269" t="inlineStr">
        <is>
          <t>New</t>
        </is>
      </c>
    </row>
    <row r="270">
      <c r="A270" t="inlineStr">
        <is>
          <t>T100270</t>
        </is>
      </c>
      <c r="B270" s="10" t="n">
        <v>45597</v>
      </c>
      <c r="C270" t="inlineStr">
        <is>
          <t>S002</t>
        </is>
      </c>
      <c r="D270" t="inlineStr">
        <is>
          <t>Brickell</t>
        </is>
      </c>
      <c r="E270" t="inlineStr">
        <is>
          <t>Gabriel Samra</t>
        </is>
      </c>
      <c r="F270" t="inlineStr">
        <is>
          <t>GS002</t>
        </is>
      </c>
      <c r="G270" t="inlineStr">
        <is>
          <t>Hydration Shampoo</t>
        </is>
      </c>
      <c r="H270" t="inlineStr">
        <is>
          <t>Hair Care</t>
        </is>
      </c>
      <c r="I270" t="inlineStr">
        <is>
          <t>Olivia</t>
        </is>
      </c>
      <c r="J270" t="n">
        <v>65</v>
      </c>
      <c r="K270" t="n">
        <v>32.75</v>
      </c>
      <c r="L270" t="n">
        <v>95.25</v>
      </c>
      <c r="M270" t="n">
        <v>0</v>
      </c>
      <c r="N270" t="n">
        <v>6191.25</v>
      </c>
      <c r="O270" t="n">
        <v>2128.75</v>
      </c>
      <c r="P270" t="n">
        <v>4062.5</v>
      </c>
      <c r="Q270" t="n">
        <v>65.62</v>
      </c>
      <c r="R270" t="inlineStr">
        <is>
          <t>Cash</t>
        </is>
      </c>
      <c r="S270" t="inlineStr">
        <is>
          <t>Returning</t>
        </is>
      </c>
    </row>
    <row r="271">
      <c r="A271" t="inlineStr">
        <is>
          <t>T100271</t>
        </is>
      </c>
      <c r="B271" s="10" t="n">
        <v>45627</v>
      </c>
      <c r="C271" t="inlineStr">
        <is>
          <t>S002</t>
        </is>
      </c>
      <c r="D271" t="inlineStr">
        <is>
          <t>Brickell</t>
        </is>
      </c>
      <c r="E271" t="inlineStr">
        <is>
          <t>Gabriel Samra</t>
        </is>
      </c>
      <c r="F271" t="inlineStr">
        <is>
          <t>GS002</t>
        </is>
      </c>
      <c r="G271" t="inlineStr">
        <is>
          <t>Hydration Shampoo</t>
        </is>
      </c>
      <c r="H271" t="inlineStr">
        <is>
          <t>Hair Care</t>
        </is>
      </c>
      <c r="I271" t="inlineStr">
        <is>
          <t>Olivia</t>
        </is>
      </c>
      <c r="J271" t="n">
        <v>74</v>
      </c>
      <c r="K271" t="n">
        <v>28.08</v>
      </c>
      <c r="L271" t="n">
        <v>64.29000000000001</v>
      </c>
      <c r="M271" t="n">
        <v>5</v>
      </c>
      <c r="N271" t="n">
        <v>4757.46</v>
      </c>
      <c r="O271" t="n">
        <v>2077.92</v>
      </c>
      <c r="P271" t="n">
        <v>2679.54</v>
      </c>
      <c r="Q271" t="n">
        <v>56.32</v>
      </c>
      <c r="R271" t="inlineStr">
        <is>
          <t>Credit Card</t>
        </is>
      </c>
      <c r="S271" t="inlineStr">
        <is>
          <t>New</t>
        </is>
      </c>
    </row>
    <row r="272">
      <c r="A272" t="inlineStr">
        <is>
          <t>T100272</t>
        </is>
      </c>
      <c r="B272" s="10" t="n">
        <v>45658</v>
      </c>
      <c r="C272" t="inlineStr">
        <is>
          <t>S002</t>
        </is>
      </c>
      <c r="D272" t="inlineStr">
        <is>
          <t>Brickell</t>
        </is>
      </c>
      <c r="E272" t="inlineStr">
        <is>
          <t>Gabriel Samra</t>
        </is>
      </c>
      <c r="F272" t="inlineStr">
        <is>
          <t>GS002</t>
        </is>
      </c>
      <c r="G272" t="inlineStr">
        <is>
          <t>Hydration Shampoo</t>
        </is>
      </c>
      <c r="H272" t="inlineStr">
        <is>
          <t>Hair Care</t>
        </is>
      </c>
      <c r="I272" t="inlineStr">
        <is>
          <t>Daniel</t>
        </is>
      </c>
      <c r="J272" t="n">
        <v>81</v>
      </c>
      <c r="K272" t="n">
        <v>25.26</v>
      </c>
      <c r="L272" t="n">
        <v>56.92</v>
      </c>
      <c r="M272" t="n">
        <v>5</v>
      </c>
      <c r="N272" t="n">
        <v>4610.52</v>
      </c>
      <c r="O272" t="n">
        <v>2046.06</v>
      </c>
      <c r="P272" t="n">
        <v>2564.46</v>
      </c>
      <c r="Q272" t="n">
        <v>55.62</v>
      </c>
      <c r="R272" t="inlineStr">
        <is>
          <t>Apple Pay</t>
        </is>
      </c>
      <c r="S272" t="inlineStr">
        <is>
          <t>New</t>
        </is>
      </c>
    </row>
    <row r="273">
      <c r="A273" t="inlineStr">
        <is>
          <t>T100273</t>
        </is>
      </c>
      <c r="B273" s="10" t="n">
        <v>45689</v>
      </c>
      <c r="C273" t="inlineStr">
        <is>
          <t>S002</t>
        </is>
      </c>
      <c r="D273" t="inlineStr">
        <is>
          <t>Brickell</t>
        </is>
      </c>
      <c r="E273" t="inlineStr">
        <is>
          <t>Gabriel Samra</t>
        </is>
      </c>
      <c r="F273" t="inlineStr">
        <is>
          <t>GS002</t>
        </is>
      </c>
      <c r="G273" t="inlineStr">
        <is>
          <t>Hydration Shampoo</t>
        </is>
      </c>
      <c r="H273" t="inlineStr">
        <is>
          <t>Hair Care</t>
        </is>
      </c>
      <c r="I273" t="inlineStr">
        <is>
          <t>Sophia</t>
        </is>
      </c>
      <c r="J273" t="n">
        <v>84</v>
      </c>
      <c r="K273" t="n">
        <v>14.8</v>
      </c>
      <c r="L273" t="n">
        <v>39.7</v>
      </c>
      <c r="M273" t="n">
        <v>0</v>
      </c>
      <c r="N273" t="n">
        <v>3334.8</v>
      </c>
      <c r="O273" t="n">
        <v>1243.2</v>
      </c>
      <c r="P273" t="n">
        <v>2091.6</v>
      </c>
      <c r="Q273" t="n">
        <v>62.72</v>
      </c>
      <c r="R273" t="inlineStr">
        <is>
          <t>Cash</t>
        </is>
      </c>
      <c r="S273" t="inlineStr">
        <is>
          <t>Returning</t>
        </is>
      </c>
    </row>
    <row r="274">
      <c r="A274" t="inlineStr">
        <is>
          <t>T100274</t>
        </is>
      </c>
      <c r="B274" s="10" t="n">
        <v>45717</v>
      </c>
      <c r="C274" t="inlineStr">
        <is>
          <t>S002</t>
        </is>
      </c>
      <c r="D274" t="inlineStr">
        <is>
          <t>Brickell</t>
        </is>
      </c>
      <c r="E274" t="inlineStr">
        <is>
          <t>Gabriel Samra</t>
        </is>
      </c>
      <c r="F274" t="inlineStr">
        <is>
          <t>GS002</t>
        </is>
      </c>
      <c r="G274" t="inlineStr">
        <is>
          <t>Hydration Shampoo</t>
        </is>
      </c>
      <c r="H274" t="inlineStr">
        <is>
          <t>Hair Care</t>
        </is>
      </c>
      <c r="I274" t="inlineStr">
        <is>
          <t>Emma</t>
        </is>
      </c>
      <c r="J274" t="n">
        <v>77</v>
      </c>
      <c r="K274" t="n">
        <v>30.64</v>
      </c>
      <c r="L274" t="n">
        <v>62.8</v>
      </c>
      <c r="M274" t="n">
        <v>0</v>
      </c>
      <c r="N274" t="n">
        <v>4835.6</v>
      </c>
      <c r="O274" t="n">
        <v>2359.28</v>
      </c>
      <c r="P274" t="n">
        <v>2476.32</v>
      </c>
      <c r="Q274" t="n">
        <v>51.21</v>
      </c>
      <c r="R274" t="inlineStr">
        <is>
          <t>Apple Pay</t>
        </is>
      </c>
      <c r="S274" t="inlineStr">
        <is>
          <t>Returning</t>
        </is>
      </c>
    </row>
    <row r="275">
      <c r="A275" t="inlineStr">
        <is>
          <t>T100275</t>
        </is>
      </c>
      <c r="B275" s="10" t="n">
        <v>45748</v>
      </c>
      <c r="C275" t="inlineStr">
        <is>
          <t>S002</t>
        </is>
      </c>
      <c r="D275" t="inlineStr">
        <is>
          <t>Brickell</t>
        </is>
      </c>
      <c r="E275" t="inlineStr">
        <is>
          <t>Gabriel Samra</t>
        </is>
      </c>
      <c r="F275" t="inlineStr">
        <is>
          <t>GS002</t>
        </is>
      </c>
      <c r="G275" t="inlineStr">
        <is>
          <t>Hydration Shampoo</t>
        </is>
      </c>
      <c r="H275" t="inlineStr">
        <is>
          <t>Hair Care</t>
        </is>
      </c>
      <c r="I275" t="inlineStr">
        <is>
          <t>Lucas</t>
        </is>
      </c>
      <c r="J275" t="n">
        <v>100</v>
      </c>
      <c r="K275" t="n">
        <v>23.85</v>
      </c>
      <c r="L275" t="n">
        <v>56.5</v>
      </c>
      <c r="M275" t="n">
        <v>0</v>
      </c>
      <c r="N275" t="n">
        <v>5650</v>
      </c>
      <c r="O275" t="n">
        <v>2385</v>
      </c>
      <c r="P275" t="n">
        <v>3265</v>
      </c>
      <c r="Q275" t="n">
        <v>57.79</v>
      </c>
      <c r="R275" t="inlineStr">
        <is>
          <t>Credit Card</t>
        </is>
      </c>
      <c r="S275" t="inlineStr">
        <is>
          <t>Returning</t>
        </is>
      </c>
    </row>
    <row r="276">
      <c r="A276" t="inlineStr">
        <is>
          <t>T100276</t>
        </is>
      </c>
      <c r="B276" s="10" t="n">
        <v>45778</v>
      </c>
      <c r="C276" t="inlineStr">
        <is>
          <t>S002</t>
        </is>
      </c>
      <c r="D276" t="inlineStr">
        <is>
          <t>Brickell</t>
        </is>
      </c>
      <c r="E276" t="inlineStr">
        <is>
          <t>Gabriel Samra</t>
        </is>
      </c>
      <c r="F276" t="inlineStr">
        <is>
          <t>GS002</t>
        </is>
      </c>
      <c r="G276" t="inlineStr">
        <is>
          <t>Hydration Shampoo</t>
        </is>
      </c>
      <c r="H276" t="inlineStr">
        <is>
          <t>Hair Care</t>
        </is>
      </c>
      <c r="I276" t="inlineStr">
        <is>
          <t>Sophia</t>
        </is>
      </c>
      <c r="J276" t="n">
        <v>99</v>
      </c>
      <c r="K276" t="n">
        <v>18.08</v>
      </c>
      <c r="L276" t="n">
        <v>48.67</v>
      </c>
      <c r="M276" t="n">
        <v>5</v>
      </c>
      <c r="N276" t="n">
        <v>4818.33</v>
      </c>
      <c r="O276" t="n">
        <v>1789.92</v>
      </c>
      <c r="P276" t="n">
        <v>3028.41</v>
      </c>
      <c r="Q276" t="n">
        <v>62.85</v>
      </c>
      <c r="R276" t="inlineStr">
        <is>
          <t>Apple Pay</t>
        </is>
      </c>
      <c r="S276" t="inlineStr">
        <is>
          <t>Returning</t>
        </is>
      </c>
    </row>
    <row r="277">
      <c r="A277" t="inlineStr">
        <is>
          <t>T100277</t>
        </is>
      </c>
      <c r="B277" s="10" t="n">
        <v>45809</v>
      </c>
      <c r="C277" t="inlineStr">
        <is>
          <t>S002</t>
        </is>
      </c>
      <c r="D277" t="inlineStr">
        <is>
          <t>Brickell</t>
        </is>
      </c>
      <c r="E277" t="inlineStr">
        <is>
          <t>Gabriel Samra</t>
        </is>
      </c>
      <c r="F277" t="inlineStr">
        <is>
          <t>GS002</t>
        </is>
      </c>
      <c r="G277" t="inlineStr">
        <is>
          <t>Hydration Shampoo</t>
        </is>
      </c>
      <c r="H277" t="inlineStr">
        <is>
          <t>Hair Care</t>
        </is>
      </c>
      <c r="I277" t="inlineStr">
        <is>
          <t>Emma</t>
        </is>
      </c>
      <c r="J277" t="n">
        <v>106</v>
      </c>
      <c r="K277" t="n">
        <v>14.85</v>
      </c>
      <c r="L277" t="n">
        <v>32.6</v>
      </c>
      <c r="M277" t="n">
        <v>0</v>
      </c>
      <c r="N277" t="n">
        <v>3455.6</v>
      </c>
      <c r="O277" t="n">
        <v>1574.1</v>
      </c>
      <c r="P277" t="n">
        <v>1881.5</v>
      </c>
      <c r="Q277" t="n">
        <v>54.45</v>
      </c>
      <c r="R277" t="inlineStr">
        <is>
          <t>Credit Card</t>
        </is>
      </c>
      <c r="S277" t="inlineStr">
        <is>
          <t>New</t>
        </is>
      </c>
    </row>
    <row r="278">
      <c r="A278" t="inlineStr">
        <is>
          <t>T100278</t>
        </is>
      </c>
      <c r="B278" s="10" t="n">
        <v>45292</v>
      </c>
      <c r="C278" t="inlineStr">
        <is>
          <t>S002</t>
        </is>
      </c>
      <c r="D278" t="inlineStr">
        <is>
          <t>Brickell</t>
        </is>
      </c>
      <c r="E278" t="inlineStr">
        <is>
          <t>Gabriel Samra</t>
        </is>
      </c>
      <c r="F278" t="inlineStr">
        <is>
          <t>GS003</t>
        </is>
      </c>
      <c r="G278" t="inlineStr">
        <is>
          <t>Repair Mask</t>
        </is>
      </c>
      <c r="H278" t="inlineStr">
        <is>
          <t>Hair Care</t>
        </is>
      </c>
      <c r="I278" t="inlineStr">
        <is>
          <t>Emma</t>
        </is>
      </c>
      <c r="J278" t="n">
        <v>87</v>
      </c>
      <c r="K278" t="n">
        <v>16.4</v>
      </c>
      <c r="L278" t="n">
        <v>40.95</v>
      </c>
      <c r="M278" t="n">
        <v>0</v>
      </c>
      <c r="N278" t="n">
        <v>3562.65</v>
      </c>
      <c r="O278" t="n">
        <v>1426.8</v>
      </c>
      <c r="P278" t="n">
        <v>2135.85</v>
      </c>
      <c r="Q278" t="n">
        <v>59.95</v>
      </c>
      <c r="R278" t="inlineStr">
        <is>
          <t>Credit Card</t>
        </is>
      </c>
      <c r="S278" t="inlineStr">
        <is>
          <t>Returning</t>
        </is>
      </c>
    </row>
    <row r="279">
      <c r="A279" t="inlineStr">
        <is>
          <t>T100279</t>
        </is>
      </c>
      <c r="B279" s="10" t="n">
        <v>45323</v>
      </c>
      <c r="C279" t="inlineStr">
        <is>
          <t>S002</t>
        </is>
      </c>
      <c r="D279" t="inlineStr">
        <is>
          <t>Brickell</t>
        </is>
      </c>
      <c r="E279" t="inlineStr">
        <is>
          <t>Gabriel Samra</t>
        </is>
      </c>
      <c r="F279" t="inlineStr">
        <is>
          <t>GS003</t>
        </is>
      </c>
      <c r="G279" t="inlineStr">
        <is>
          <t>Repair Mask</t>
        </is>
      </c>
      <c r="H279" t="inlineStr">
        <is>
          <t>Hair Care</t>
        </is>
      </c>
      <c r="I279" t="inlineStr">
        <is>
          <t>Olivia</t>
        </is>
      </c>
      <c r="J279" t="n">
        <v>94</v>
      </c>
      <c r="K279" t="n">
        <v>12.25</v>
      </c>
      <c r="L279" t="n">
        <v>38.1</v>
      </c>
      <c r="M279" t="n">
        <v>10</v>
      </c>
      <c r="N279" t="n">
        <v>3581.4</v>
      </c>
      <c r="O279" t="n">
        <v>1151.5</v>
      </c>
      <c r="P279" t="n">
        <v>2429.9</v>
      </c>
      <c r="Q279" t="n">
        <v>67.84999999999999</v>
      </c>
      <c r="R279" t="inlineStr">
        <is>
          <t>Credit Card</t>
        </is>
      </c>
      <c r="S279" t="inlineStr">
        <is>
          <t>New</t>
        </is>
      </c>
    </row>
    <row r="280">
      <c r="A280" t="inlineStr">
        <is>
          <t>T100280</t>
        </is>
      </c>
      <c r="B280" s="10" t="n">
        <v>45352</v>
      </c>
      <c r="C280" t="inlineStr">
        <is>
          <t>S002</t>
        </is>
      </c>
      <c r="D280" t="inlineStr">
        <is>
          <t>Brickell</t>
        </is>
      </c>
      <c r="E280" t="inlineStr">
        <is>
          <t>Gabriel Samra</t>
        </is>
      </c>
      <c r="F280" t="inlineStr">
        <is>
          <t>GS003</t>
        </is>
      </c>
      <c r="G280" t="inlineStr">
        <is>
          <t>Repair Mask</t>
        </is>
      </c>
      <c r="H280" t="inlineStr">
        <is>
          <t>Hair Care</t>
        </is>
      </c>
      <c r="I280" t="inlineStr">
        <is>
          <t>Sophia</t>
        </is>
      </c>
      <c r="J280" t="n">
        <v>159</v>
      </c>
      <c r="K280" t="n">
        <v>32.68</v>
      </c>
      <c r="L280" t="n">
        <v>66.25</v>
      </c>
      <c r="M280" t="n">
        <v>0</v>
      </c>
      <c r="N280" t="n">
        <v>10533.75</v>
      </c>
      <c r="O280" t="n">
        <v>5196.12</v>
      </c>
      <c r="P280" t="n">
        <v>5337.63</v>
      </c>
      <c r="Q280" t="n">
        <v>50.67</v>
      </c>
      <c r="R280" t="inlineStr">
        <is>
          <t>Credit Card</t>
        </is>
      </c>
      <c r="S280" t="inlineStr">
        <is>
          <t>Returning</t>
        </is>
      </c>
    </row>
    <row r="281">
      <c r="A281" t="inlineStr">
        <is>
          <t>T100281</t>
        </is>
      </c>
      <c r="B281" s="10" t="n">
        <v>45383</v>
      </c>
      <c r="C281" t="inlineStr">
        <is>
          <t>S002</t>
        </is>
      </c>
      <c r="D281" t="inlineStr">
        <is>
          <t>Brickell</t>
        </is>
      </c>
      <c r="E281" t="inlineStr">
        <is>
          <t>Gabriel Samra</t>
        </is>
      </c>
      <c r="F281" t="inlineStr">
        <is>
          <t>GS003</t>
        </is>
      </c>
      <c r="G281" t="inlineStr">
        <is>
          <t>Repair Mask</t>
        </is>
      </c>
      <c r="H281" t="inlineStr">
        <is>
          <t>Hair Care</t>
        </is>
      </c>
      <c r="I281" t="inlineStr">
        <is>
          <t>Emma</t>
        </is>
      </c>
      <c r="J281" t="n">
        <v>90</v>
      </c>
      <c r="K281" t="n">
        <v>24.04</v>
      </c>
      <c r="L281" t="n">
        <v>79.59</v>
      </c>
      <c r="M281" t="n">
        <v>10</v>
      </c>
      <c r="N281" t="n">
        <v>7163.1</v>
      </c>
      <c r="O281" t="n">
        <v>2163.6</v>
      </c>
      <c r="P281" t="n">
        <v>4999.5</v>
      </c>
      <c r="Q281" t="n">
        <v>69.8</v>
      </c>
      <c r="R281" t="inlineStr">
        <is>
          <t>Cash</t>
        </is>
      </c>
      <c r="S281" t="inlineStr">
        <is>
          <t>New</t>
        </is>
      </c>
    </row>
    <row r="282">
      <c r="A282" t="inlineStr">
        <is>
          <t>T100282</t>
        </is>
      </c>
      <c r="B282" s="10" t="n">
        <v>45413</v>
      </c>
      <c r="C282" t="inlineStr">
        <is>
          <t>S002</t>
        </is>
      </c>
      <c r="D282" t="inlineStr">
        <is>
          <t>Brickell</t>
        </is>
      </c>
      <c r="E282" t="inlineStr">
        <is>
          <t>Gabriel Samra</t>
        </is>
      </c>
      <c r="F282" t="inlineStr">
        <is>
          <t>GS003</t>
        </is>
      </c>
      <c r="G282" t="inlineStr">
        <is>
          <t>Repair Mask</t>
        </is>
      </c>
      <c r="H282" t="inlineStr">
        <is>
          <t>Hair Care</t>
        </is>
      </c>
      <c r="I282" t="inlineStr">
        <is>
          <t>Sophia</t>
        </is>
      </c>
      <c r="J282" t="n">
        <v>109</v>
      </c>
      <c r="K282" t="n">
        <v>23.48</v>
      </c>
      <c r="L282" t="n">
        <v>59.06</v>
      </c>
      <c r="M282" t="n">
        <v>0</v>
      </c>
      <c r="N282" t="n">
        <v>6437.54</v>
      </c>
      <c r="O282" t="n">
        <v>2559.32</v>
      </c>
      <c r="P282" t="n">
        <v>3878.22</v>
      </c>
      <c r="Q282" t="n">
        <v>60.24</v>
      </c>
      <c r="R282" t="inlineStr">
        <is>
          <t>Cash</t>
        </is>
      </c>
      <c r="S282" t="inlineStr">
        <is>
          <t>Returning</t>
        </is>
      </c>
    </row>
    <row r="283">
      <c r="A283" t="inlineStr">
        <is>
          <t>T100283</t>
        </is>
      </c>
      <c r="B283" s="10" t="n">
        <v>45444</v>
      </c>
      <c r="C283" t="inlineStr">
        <is>
          <t>S002</t>
        </is>
      </c>
      <c r="D283" t="inlineStr">
        <is>
          <t>Brickell</t>
        </is>
      </c>
      <c r="E283" t="inlineStr">
        <is>
          <t>Gabriel Samra</t>
        </is>
      </c>
      <c r="F283" t="inlineStr">
        <is>
          <t>GS003</t>
        </is>
      </c>
      <c r="G283" t="inlineStr">
        <is>
          <t>Repair Mask</t>
        </is>
      </c>
      <c r="H283" t="inlineStr">
        <is>
          <t>Hair Care</t>
        </is>
      </c>
      <c r="I283" t="inlineStr">
        <is>
          <t>Sophia</t>
        </is>
      </c>
      <c r="J283" t="n">
        <v>128</v>
      </c>
      <c r="K283" t="n">
        <v>23.79</v>
      </c>
      <c r="L283" t="n">
        <v>57.14</v>
      </c>
      <c r="M283" t="n">
        <v>10</v>
      </c>
      <c r="N283" t="n">
        <v>7313.92</v>
      </c>
      <c r="O283" t="n">
        <v>3045.12</v>
      </c>
      <c r="P283" t="n">
        <v>4268.8</v>
      </c>
      <c r="Q283" t="n">
        <v>58.37</v>
      </c>
      <c r="R283" t="inlineStr">
        <is>
          <t>Credit Card</t>
        </is>
      </c>
      <c r="S283" t="inlineStr">
        <is>
          <t>New</t>
        </is>
      </c>
    </row>
    <row r="284">
      <c r="A284" t="inlineStr">
        <is>
          <t>T100284</t>
        </is>
      </c>
      <c r="B284" s="10" t="n">
        <v>45474</v>
      </c>
      <c r="C284" t="inlineStr">
        <is>
          <t>S002</t>
        </is>
      </c>
      <c r="D284" t="inlineStr">
        <is>
          <t>Brickell</t>
        </is>
      </c>
      <c r="E284" t="inlineStr">
        <is>
          <t>Gabriel Samra</t>
        </is>
      </c>
      <c r="F284" t="inlineStr">
        <is>
          <t>GS003</t>
        </is>
      </c>
      <c r="G284" t="inlineStr">
        <is>
          <t>Repair Mask</t>
        </is>
      </c>
      <c r="H284" t="inlineStr">
        <is>
          <t>Hair Care</t>
        </is>
      </c>
      <c r="I284" t="inlineStr">
        <is>
          <t>Sophia</t>
        </is>
      </c>
      <c r="J284" t="n">
        <v>149</v>
      </c>
      <c r="K284" t="n">
        <v>21.69</v>
      </c>
      <c r="L284" t="n">
        <v>46.76</v>
      </c>
      <c r="M284" t="n">
        <v>10</v>
      </c>
      <c r="N284" t="n">
        <v>6967.24</v>
      </c>
      <c r="O284" t="n">
        <v>3231.81</v>
      </c>
      <c r="P284" t="n">
        <v>3735.43</v>
      </c>
      <c r="Q284" t="n">
        <v>53.61</v>
      </c>
      <c r="R284" t="inlineStr">
        <is>
          <t>Cash</t>
        </is>
      </c>
      <c r="S284" t="inlineStr">
        <is>
          <t>Returning</t>
        </is>
      </c>
    </row>
    <row r="285">
      <c r="A285" t="inlineStr">
        <is>
          <t>T100285</t>
        </is>
      </c>
      <c r="B285" s="10" t="n">
        <v>45505</v>
      </c>
      <c r="C285" t="inlineStr">
        <is>
          <t>S002</t>
        </is>
      </c>
      <c r="D285" t="inlineStr">
        <is>
          <t>Brickell</t>
        </is>
      </c>
      <c r="E285" t="inlineStr">
        <is>
          <t>Gabriel Samra</t>
        </is>
      </c>
      <c r="F285" t="inlineStr">
        <is>
          <t>GS003</t>
        </is>
      </c>
      <c r="G285" t="inlineStr">
        <is>
          <t>Repair Mask</t>
        </is>
      </c>
      <c r="H285" t="inlineStr">
        <is>
          <t>Hair Care</t>
        </is>
      </c>
      <c r="I285" t="inlineStr">
        <is>
          <t>Daniel</t>
        </is>
      </c>
      <c r="J285" t="n">
        <v>131</v>
      </c>
      <c r="K285" t="n">
        <v>21.83</v>
      </c>
      <c r="L285" t="n">
        <v>46.15</v>
      </c>
      <c r="M285" t="n">
        <v>0</v>
      </c>
      <c r="N285" t="n">
        <v>6045.65</v>
      </c>
      <c r="O285" t="n">
        <v>2859.73</v>
      </c>
      <c r="P285" t="n">
        <v>3185.92</v>
      </c>
      <c r="Q285" t="n">
        <v>52.7</v>
      </c>
      <c r="R285" t="inlineStr">
        <is>
          <t>Credit Card</t>
        </is>
      </c>
      <c r="S285" t="inlineStr">
        <is>
          <t>Returning</t>
        </is>
      </c>
    </row>
    <row r="286">
      <c r="A286" t="inlineStr">
        <is>
          <t>T100286</t>
        </is>
      </c>
      <c r="B286" s="10" t="n">
        <v>45536</v>
      </c>
      <c r="C286" t="inlineStr">
        <is>
          <t>S002</t>
        </is>
      </c>
      <c r="D286" t="inlineStr">
        <is>
          <t>Brickell</t>
        </is>
      </c>
      <c r="E286" t="inlineStr">
        <is>
          <t>Gabriel Samra</t>
        </is>
      </c>
      <c r="F286" t="inlineStr">
        <is>
          <t>GS003</t>
        </is>
      </c>
      <c r="G286" t="inlineStr">
        <is>
          <t>Repair Mask</t>
        </is>
      </c>
      <c r="H286" t="inlineStr">
        <is>
          <t>Hair Care</t>
        </is>
      </c>
      <c r="I286" t="inlineStr">
        <is>
          <t>Daniel</t>
        </is>
      </c>
      <c r="J286" t="n">
        <v>149</v>
      </c>
      <c r="K286" t="n">
        <v>17.16</v>
      </c>
      <c r="L286" t="n">
        <v>43.96</v>
      </c>
      <c r="M286" t="n">
        <v>0</v>
      </c>
      <c r="N286" t="n">
        <v>6550.04</v>
      </c>
      <c r="O286" t="n">
        <v>2556.84</v>
      </c>
      <c r="P286" t="n">
        <v>3993.2</v>
      </c>
      <c r="Q286" t="n">
        <v>60.96</v>
      </c>
      <c r="R286" t="inlineStr">
        <is>
          <t>Apple Pay</t>
        </is>
      </c>
      <c r="S286" t="inlineStr">
        <is>
          <t>New</t>
        </is>
      </c>
    </row>
    <row r="287">
      <c r="A287" t="inlineStr">
        <is>
          <t>T100287</t>
        </is>
      </c>
      <c r="B287" s="10" t="n">
        <v>45566</v>
      </c>
      <c r="C287" t="inlineStr">
        <is>
          <t>S002</t>
        </is>
      </c>
      <c r="D287" t="inlineStr">
        <is>
          <t>Brickell</t>
        </is>
      </c>
      <c r="E287" t="inlineStr">
        <is>
          <t>Gabriel Samra</t>
        </is>
      </c>
      <c r="F287" t="inlineStr">
        <is>
          <t>GS003</t>
        </is>
      </c>
      <c r="G287" t="inlineStr">
        <is>
          <t>Repair Mask</t>
        </is>
      </c>
      <c r="H287" t="inlineStr">
        <is>
          <t>Hair Care</t>
        </is>
      </c>
      <c r="I287" t="inlineStr">
        <is>
          <t>Daniel</t>
        </is>
      </c>
      <c r="J287" t="n">
        <v>155</v>
      </c>
      <c r="K287" t="n">
        <v>20.89</v>
      </c>
      <c r="L287" t="n">
        <v>68.70999999999999</v>
      </c>
      <c r="M287" t="n">
        <v>5</v>
      </c>
      <c r="N287" t="n">
        <v>10650.05</v>
      </c>
      <c r="O287" t="n">
        <v>3237.95</v>
      </c>
      <c r="P287" t="n">
        <v>7412.1</v>
      </c>
      <c r="Q287" t="n">
        <v>69.59999999999999</v>
      </c>
      <c r="R287" t="inlineStr">
        <is>
          <t>Apple Pay</t>
        </is>
      </c>
      <c r="S287" t="inlineStr">
        <is>
          <t>New</t>
        </is>
      </c>
    </row>
    <row r="288">
      <c r="A288" t="inlineStr">
        <is>
          <t>T100288</t>
        </is>
      </c>
      <c r="B288" s="10" t="n">
        <v>45597</v>
      </c>
      <c r="C288" t="inlineStr">
        <is>
          <t>S002</t>
        </is>
      </c>
      <c r="D288" t="inlineStr">
        <is>
          <t>Brickell</t>
        </is>
      </c>
      <c r="E288" t="inlineStr">
        <is>
          <t>Gabriel Samra</t>
        </is>
      </c>
      <c r="F288" t="inlineStr">
        <is>
          <t>GS003</t>
        </is>
      </c>
      <c r="G288" t="inlineStr">
        <is>
          <t>Repair Mask</t>
        </is>
      </c>
      <c r="H288" t="inlineStr">
        <is>
          <t>Hair Care</t>
        </is>
      </c>
      <c r="I288" t="inlineStr">
        <is>
          <t>Daniel</t>
        </is>
      </c>
      <c r="J288" t="n">
        <v>163</v>
      </c>
      <c r="K288" t="n">
        <v>30.05</v>
      </c>
      <c r="L288" t="n">
        <v>73.39</v>
      </c>
      <c r="M288" t="n">
        <v>0</v>
      </c>
      <c r="N288" t="n">
        <v>11962.57</v>
      </c>
      <c r="O288" t="n">
        <v>4898.15</v>
      </c>
      <c r="P288" t="n">
        <v>7064.42</v>
      </c>
      <c r="Q288" t="n">
        <v>59.05</v>
      </c>
      <c r="R288" t="inlineStr">
        <is>
          <t>Apple Pay</t>
        </is>
      </c>
      <c r="S288" t="inlineStr">
        <is>
          <t>New</t>
        </is>
      </c>
    </row>
    <row r="289">
      <c r="A289" t="inlineStr">
        <is>
          <t>T100289</t>
        </is>
      </c>
      <c r="B289" s="10" t="n">
        <v>45627</v>
      </c>
      <c r="C289" t="inlineStr">
        <is>
          <t>S002</t>
        </is>
      </c>
      <c r="D289" t="inlineStr">
        <is>
          <t>Brickell</t>
        </is>
      </c>
      <c r="E289" t="inlineStr">
        <is>
          <t>Gabriel Samra</t>
        </is>
      </c>
      <c r="F289" t="inlineStr">
        <is>
          <t>GS003</t>
        </is>
      </c>
      <c r="G289" t="inlineStr">
        <is>
          <t>Repair Mask</t>
        </is>
      </c>
      <c r="H289" t="inlineStr">
        <is>
          <t>Hair Care</t>
        </is>
      </c>
      <c r="I289" t="inlineStr">
        <is>
          <t>Daniel</t>
        </is>
      </c>
      <c r="J289" t="n">
        <v>206</v>
      </c>
      <c r="K289" t="n">
        <v>25.7</v>
      </c>
      <c r="L289" t="n">
        <v>59.97</v>
      </c>
      <c r="M289" t="n">
        <v>0</v>
      </c>
      <c r="N289" t="n">
        <v>12353.82</v>
      </c>
      <c r="O289" t="n">
        <v>5294.2</v>
      </c>
      <c r="P289" t="n">
        <v>7059.62</v>
      </c>
      <c r="Q289" t="n">
        <v>57.15</v>
      </c>
      <c r="R289" t="inlineStr">
        <is>
          <t>Credit Card</t>
        </is>
      </c>
      <c r="S289" t="inlineStr">
        <is>
          <t>New</t>
        </is>
      </c>
    </row>
    <row r="290">
      <c r="A290" t="inlineStr">
        <is>
          <t>T100290</t>
        </is>
      </c>
      <c r="B290" s="10" t="n">
        <v>45658</v>
      </c>
      <c r="C290" t="inlineStr">
        <is>
          <t>S002</t>
        </is>
      </c>
      <c r="D290" t="inlineStr">
        <is>
          <t>Brickell</t>
        </is>
      </c>
      <c r="E290" t="inlineStr">
        <is>
          <t>Gabriel Samra</t>
        </is>
      </c>
      <c r="F290" t="inlineStr">
        <is>
          <t>GS003</t>
        </is>
      </c>
      <c r="G290" t="inlineStr">
        <is>
          <t>Repair Mask</t>
        </is>
      </c>
      <c r="H290" t="inlineStr">
        <is>
          <t>Hair Care</t>
        </is>
      </c>
      <c r="I290" t="inlineStr">
        <is>
          <t>Olivia</t>
        </is>
      </c>
      <c r="J290" t="n">
        <v>198</v>
      </c>
      <c r="K290" t="n">
        <v>18.71</v>
      </c>
      <c r="L290" t="n">
        <v>65.34999999999999</v>
      </c>
      <c r="M290" t="n">
        <v>0</v>
      </c>
      <c r="N290" t="n">
        <v>12939.3</v>
      </c>
      <c r="O290" t="n">
        <v>3704.58</v>
      </c>
      <c r="P290" t="n">
        <v>9234.719999999999</v>
      </c>
      <c r="Q290" t="n">
        <v>71.37</v>
      </c>
      <c r="R290" t="inlineStr">
        <is>
          <t>Apple Pay</t>
        </is>
      </c>
      <c r="S290" t="inlineStr">
        <is>
          <t>New</t>
        </is>
      </c>
    </row>
    <row r="291">
      <c r="A291" t="inlineStr">
        <is>
          <t>T100291</t>
        </is>
      </c>
      <c r="B291" s="10" t="n">
        <v>45689</v>
      </c>
      <c r="C291" t="inlineStr">
        <is>
          <t>S002</t>
        </is>
      </c>
      <c r="D291" t="inlineStr">
        <is>
          <t>Brickell</t>
        </is>
      </c>
      <c r="E291" t="inlineStr">
        <is>
          <t>Gabriel Samra</t>
        </is>
      </c>
      <c r="F291" t="inlineStr">
        <is>
          <t>GS003</t>
        </is>
      </c>
      <c r="G291" t="inlineStr">
        <is>
          <t>Repair Mask</t>
        </is>
      </c>
      <c r="H291" t="inlineStr">
        <is>
          <t>Hair Care</t>
        </is>
      </c>
      <c r="I291" t="inlineStr">
        <is>
          <t>Emma</t>
        </is>
      </c>
      <c r="J291" t="n">
        <v>162</v>
      </c>
      <c r="K291" t="n">
        <v>31.78</v>
      </c>
      <c r="L291" t="n">
        <v>101.78</v>
      </c>
      <c r="M291" t="n">
        <v>10</v>
      </c>
      <c r="N291" t="n">
        <v>16488.36</v>
      </c>
      <c r="O291" t="n">
        <v>5148.36</v>
      </c>
      <c r="P291" t="n">
        <v>11340</v>
      </c>
      <c r="Q291" t="n">
        <v>68.78</v>
      </c>
      <c r="R291" t="inlineStr">
        <is>
          <t>Apple Pay</t>
        </is>
      </c>
      <c r="S291" t="inlineStr">
        <is>
          <t>New</t>
        </is>
      </c>
    </row>
    <row r="292">
      <c r="A292" t="inlineStr">
        <is>
          <t>T100292</t>
        </is>
      </c>
      <c r="B292" s="10" t="n">
        <v>45717</v>
      </c>
      <c r="C292" t="inlineStr">
        <is>
          <t>S002</t>
        </is>
      </c>
      <c r="D292" t="inlineStr">
        <is>
          <t>Brickell</t>
        </is>
      </c>
      <c r="E292" t="inlineStr">
        <is>
          <t>Gabriel Samra</t>
        </is>
      </c>
      <c r="F292" t="inlineStr">
        <is>
          <t>GS003</t>
        </is>
      </c>
      <c r="G292" t="inlineStr">
        <is>
          <t>Repair Mask</t>
        </is>
      </c>
      <c r="H292" t="inlineStr">
        <is>
          <t>Hair Care</t>
        </is>
      </c>
      <c r="I292" t="inlineStr">
        <is>
          <t>Emma</t>
        </is>
      </c>
      <c r="J292" t="n">
        <v>385</v>
      </c>
      <c r="K292" t="n">
        <v>32.92</v>
      </c>
      <c r="L292" t="n">
        <v>91.36</v>
      </c>
      <c r="M292" t="n">
        <v>0</v>
      </c>
      <c r="N292" t="n">
        <v>35173.6</v>
      </c>
      <c r="O292" t="n">
        <v>12674.2</v>
      </c>
      <c r="P292" t="n">
        <v>22499.4</v>
      </c>
      <c r="Q292" t="n">
        <v>63.97</v>
      </c>
      <c r="R292" t="inlineStr">
        <is>
          <t>Apple Pay</t>
        </is>
      </c>
      <c r="S292" t="inlineStr">
        <is>
          <t>New</t>
        </is>
      </c>
    </row>
    <row r="293">
      <c r="A293" t="inlineStr">
        <is>
          <t>T100293</t>
        </is>
      </c>
      <c r="B293" s="10" t="n">
        <v>45748</v>
      </c>
      <c r="C293" t="inlineStr">
        <is>
          <t>S002</t>
        </is>
      </c>
      <c r="D293" t="inlineStr">
        <is>
          <t>Brickell</t>
        </is>
      </c>
      <c r="E293" t="inlineStr">
        <is>
          <t>Gabriel Samra</t>
        </is>
      </c>
      <c r="F293" t="inlineStr">
        <is>
          <t>GS003</t>
        </is>
      </c>
      <c r="G293" t="inlineStr">
        <is>
          <t>Repair Mask</t>
        </is>
      </c>
      <c r="H293" t="inlineStr">
        <is>
          <t>Hair Care</t>
        </is>
      </c>
      <c r="I293" t="inlineStr">
        <is>
          <t>Olivia</t>
        </is>
      </c>
      <c r="J293" t="n">
        <v>246</v>
      </c>
      <c r="K293" t="n">
        <v>25.62</v>
      </c>
      <c r="L293" t="n">
        <v>89.37</v>
      </c>
      <c r="M293" t="n">
        <v>0</v>
      </c>
      <c r="N293" t="n">
        <v>21985.02</v>
      </c>
      <c r="O293" t="n">
        <v>6302.52</v>
      </c>
      <c r="P293" t="n">
        <v>15682.5</v>
      </c>
      <c r="Q293" t="n">
        <v>71.33</v>
      </c>
      <c r="R293" t="inlineStr">
        <is>
          <t>Cash</t>
        </is>
      </c>
      <c r="S293" t="inlineStr">
        <is>
          <t>Returning</t>
        </is>
      </c>
    </row>
    <row r="294">
      <c r="A294" t="inlineStr">
        <is>
          <t>T100294</t>
        </is>
      </c>
      <c r="B294" s="10" t="n">
        <v>45778</v>
      </c>
      <c r="C294" t="inlineStr">
        <is>
          <t>S002</t>
        </is>
      </c>
      <c r="D294" t="inlineStr">
        <is>
          <t>Brickell</t>
        </is>
      </c>
      <c r="E294" t="inlineStr">
        <is>
          <t>Gabriel Samra</t>
        </is>
      </c>
      <c r="F294" t="inlineStr">
        <is>
          <t>GS003</t>
        </is>
      </c>
      <c r="G294" t="inlineStr">
        <is>
          <t>Repair Mask</t>
        </is>
      </c>
      <c r="H294" t="inlineStr">
        <is>
          <t>Hair Care</t>
        </is>
      </c>
      <c r="I294" t="inlineStr">
        <is>
          <t>Daniel</t>
        </is>
      </c>
      <c r="J294" t="n">
        <v>244</v>
      </c>
      <c r="K294" t="n">
        <v>17.26</v>
      </c>
      <c r="L294" t="n">
        <v>56.87</v>
      </c>
      <c r="M294" t="n">
        <v>5</v>
      </c>
      <c r="N294" t="n">
        <v>13876.28</v>
      </c>
      <c r="O294" t="n">
        <v>4211.44</v>
      </c>
      <c r="P294" t="n">
        <v>9664.84</v>
      </c>
      <c r="Q294" t="n">
        <v>69.65000000000001</v>
      </c>
      <c r="R294" t="inlineStr">
        <is>
          <t>Apple Pay</t>
        </is>
      </c>
      <c r="S294" t="inlineStr">
        <is>
          <t>New</t>
        </is>
      </c>
    </row>
    <row r="295">
      <c r="A295" t="inlineStr">
        <is>
          <t>T100295</t>
        </is>
      </c>
      <c r="B295" s="10" t="n">
        <v>45809</v>
      </c>
      <c r="C295" t="inlineStr">
        <is>
          <t>S002</t>
        </is>
      </c>
      <c r="D295" t="inlineStr">
        <is>
          <t>Brickell</t>
        </is>
      </c>
      <c r="E295" t="inlineStr">
        <is>
          <t>Gabriel Samra</t>
        </is>
      </c>
      <c r="F295" t="inlineStr">
        <is>
          <t>GS003</t>
        </is>
      </c>
      <c r="G295" t="inlineStr">
        <is>
          <t>Repair Mask</t>
        </is>
      </c>
      <c r="H295" t="inlineStr">
        <is>
          <t>Hair Care</t>
        </is>
      </c>
      <c r="I295" t="inlineStr">
        <is>
          <t>Olivia</t>
        </is>
      </c>
      <c r="J295" t="n">
        <v>294</v>
      </c>
      <c r="K295" t="n">
        <v>29.43</v>
      </c>
      <c r="L295" t="n">
        <v>59.88</v>
      </c>
      <c r="M295" t="n">
        <v>0</v>
      </c>
      <c r="N295" t="n">
        <v>17604.72</v>
      </c>
      <c r="O295" t="n">
        <v>8652.42</v>
      </c>
      <c r="P295" t="n">
        <v>8952.299999999999</v>
      </c>
      <c r="Q295" t="n">
        <v>50.85</v>
      </c>
      <c r="R295" t="inlineStr">
        <is>
          <t>Credit Card</t>
        </is>
      </c>
      <c r="S295" t="inlineStr">
        <is>
          <t>Returning</t>
        </is>
      </c>
    </row>
    <row r="296">
      <c r="A296" t="inlineStr">
        <is>
          <t>T100296</t>
        </is>
      </c>
      <c r="B296" s="10" t="n">
        <v>45292</v>
      </c>
      <c r="C296" t="inlineStr">
        <is>
          <t>S002</t>
        </is>
      </c>
      <c r="D296" t="inlineStr">
        <is>
          <t>Brickell</t>
        </is>
      </c>
      <c r="E296" t="inlineStr">
        <is>
          <t>Gabriel Samra</t>
        </is>
      </c>
      <c r="F296" t="inlineStr">
        <is>
          <t>GS004</t>
        </is>
      </c>
      <c r="G296" t="inlineStr">
        <is>
          <t>Blonde Conditioner</t>
        </is>
      </c>
      <c r="H296" t="inlineStr">
        <is>
          <t>Hair Care</t>
        </is>
      </c>
      <c r="I296" t="inlineStr">
        <is>
          <t>Sophia</t>
        </is>
      </c>
      <c r="J296" t="n">
        <v>57</v>
      </c>
      <c r="K296" t="n">
        <v>29.45</v>
      </c>
      <c r="L296" t="n">
        <v>87.61</v>
      </c>
      <c r="M296" t="n">
        <v>5</v>
      </c>
      <c r="N296" t="n">
        <v>4993.77</v>
      </c>
      <c r="O296" t="n">
        <v>1678.65</v>
      </c>
      <c r="P296" t="n">
        <v>3315.12</v>
      </c>
      <c r="Q296" t="n">
        <v>66.39</v>
      </c>
      <c r="R296" t="inlineStr">
        <is>
          <t>Cash</t>
        </is>
      </c>
      <c r="S296" t="inlineStr">
        <is>
          <t>Returning</t>
        </is>
      </c>
    </row>
    <row r="297">
      <c r="A297" t="inlineStr">
        <is>
          <t>T100297</t>
        </is>
      </c>
      <c r="B297" s="10" t="n">
        <v>45323</v>
      </c>
      <c r="C297" t="inlineStr">
        <is>
          <t>S002</t>
        </is>
      </c>
      <c r="D297" t="inlineStr">
        <is>
          <t>Brickell</t>
        </is>
      </c>
      <c r="E297" t="inlineStr">
        <is>
          <t>Gabriel Samra</t>
        </is>
      </c>
      <c r="F297" t="inlineStr">
        <is>
          <t>GS004</t>
        </is>
      </c>
      <c r="G297" t="inlineStr">
        <is>
          <t>Blonde Conditioner</t>
        </is>
      </c>
      <c r="H297" t="inlineStr">
        <is>
          <t>Hair Care</t>
        </is>
      </c>
      <c r="I297" t="inlineStr">
        <is>
          <t>Sophia</t>
        </is>
      </c>
      <c r="J297" t="n">
        <v>60</v>
      </c>
      <c r="K297" t="n">
        <v>22.99</v>
      </c>
      <c r="L297" t="n">
        <v>71.36</v>
      </c>
      <c r="M297" t="n">
        <v>5</v>
      </c>
      <c r="N297" t="n">
        <v>4281.6</v>
      </c>
      <c r="O297" t="n">
        <v>1379.4</v>
      </c>
      <c r="P297" t="n">
        <v>2902.2</v>
      </c>
      <c r="Q297" t="n">
        <v>67.78</v>
      </c>
      <c r="R297" t="inlineStr">
        <is>
          <t>Credit Card</t>
        </is>
      </c>
      <c r="S297" t="inlineStr">
        <is>
          <t>Returning</t>
        </is>
      </c>
    </row>
    <row r="298">
      <c r="A298" t="inlineStr">
        <is>
          <t>T100298</t>
        </is>
      </c>
      <c r="B298" s="10" t="n">
        <v>45352</v>
      </c>
      <c r="C298" t="inlineStr">
        <is>
          <t>S002</t>
        </is>
      </c>
      <c r="D298" t="inlineStr">
        <is>
          <t>Brickell</t>
        </is>
      </c>
      <c r="E298" t="inlineStr">
        <is>
          <t>Gabriel Samra</t>
        </is>
      </c>
      <c r="F298" t="inlineStr">
        <is>
          <t>GS004</t>
        </is>
      </c>
      <c r="G298" t="inlineStr">
        <is>
          <t>Blonde Conditioner</t>
        </is>
      </c>
      <c r="H298" t="inlineStr">
        <is>
          <t>Hair Care</t>
        </is>
      </c>
      <c r="I298" t="inlineStr">
        <is>
          <t>Lucas</t>
        </is>
      </c>
      <c r="J298" t="n">
        <v>79</v>
      </c>
      <c r="K298" t="n">
        <v>16.42</v>
      </c>
      <c r="L298" t="n">
        <v>50.62</v>
      </c>
      <c r="M298" t="n">
        <v>0</v>
      </c>
      <c r="N298" t="n">
        <v>3998.98</v>
      </c>
      <c r="O298" t="n">
        <v>1297.18</v>
      </c>
      <c r="P298" t="n">
        <v>2701.8</v>
      </c>
      <c r="Q298" t="n">
        <v>67.56</v>
      </c>
      <c r="R298" t="inlineStr">
        <is>
          <t>Apple Pay</t>
        </is>
      </c>
      <c r="S298" t="inlineStr">
        <is>
          <t>New</t>
        </is>
      </c>
    </row>
    <row r="299">
      <c r="A299" t="inlineStr">
        <is>
          <t>T100299</t>
        </is>
      </c>
      <c r="B299" s="10" t="n">
        <v>45383</v>
      </c>
      <c r="C299" t="inlineStr">
        <is>
          <t>S002</t>
        </is>
      </c>
      <c r="D299" t="inlineStr">
        <is>
          <t>Brickell</t>
        </is>
      </c>
      <c r="E299" t="inlineStr">
        <is>
          <t>Gabriel Samra</t>
        </is>
      </c>
      <c r="F299" t="inlineStr">
        <is>
          <t>GS004</t>
        </is>
      </c>
      <c r="G299" t="inlineStr">
        <is>
          <t>Blonde Conditioner</t>
        </is>
      </c>
      <c r="H299" t="inlineStr">
        <is>
          <t>Hair Care</t>
        </is>
      </c>
      <c r="I299" t="inlineStr">
        <is>
          <t>Sophia</t>
        </is>
      </c>
      <c r="J299" t="n">
        <v>65</v>
      </c>
      <c r="K299" t="n">
        <v>26.27</v>
      </c>
      <c r="L299" t="n">
        <v>64.3</v>
      </c>
      <c r="M299" t="n">
        <v>0</v>
      </c>
      <c r="N299" t="n">
        <v>4179.5</v>
      </c>
      <c r="O299" t="n">
        <v>1707.55</v>
      </c>
      <c r="P299" t="n">
        <v>2471.95</v>
      </c>
      <c r="Q299" t="n">
        <v>59.14</v>
      </c>
      <c r="R299" t="inlineStr">
        <is>
          <t>Cash</t>
        </is>
      </c>
      <c r="S299" t="inlineStr">
        <is>
          <t>Returning</t>
        </is>
      </c>
    </row>
    <row r="300">
      <c r="A300" t="inlineStr">
        <is>
          <t>T100300</t>
        </is>
      </c>
      <c r="B300" s="10" t="n">
        <v>45413</v>
      </c>
      <c r="C300" t="inlineStr">
        <is>
          <t>S002</t>
        </is>
      </c>
      <c r="D300" t="inlineStr">
        <is>
          <t>Brickell</t>
        </is>
      </c>
      <c r="E300" t="inlineStr">
        <is>
          <t>Gabriel Samra</t>
        </is>
      </c>
      <c r="F300" t="inlineStr">
        <is>
          <t>GS004</t>
        </is>
      </c>
      <c r="G300" t="inlineStr">
        <is>
          <t>Blonde Conditioner</t>
        </is>
      </c>
      <c r="H300" t="inlineStr">
        <is>
          <t>Hair Care</t>
        </is>
      </c>
      <c r="I300" t="inlineStr">
        <is>
          <t>Daniel</t>
        </is>
      </c>
      <c r="J300" t="n">
        <v>68</v>
      </c>
      <c r="K300" t="n">
        <v>28.32</v>
      </c>
      <c r="L300" t="n">
        <v>65.7</v>
      </c>
      <c r="M300" t="n">
        <v>0</v>
      </c>
      <c r="N300" t="n">
        <v>4467.6</v>
      </c>
      <c r="O300" t="n">
        <v>1925.76</v>
      </c>
      <c r="P300" t="n">
        <v>2541.84</v>
      </c>
      <c r="Q300" t="n">
        <v>56.89</v>
      </c>
      <c r="R300" t="inlineStr">
        <is>
          <t>Cash</t>
        </is>
      </c>
      <c r="S300" t="inlineStr">
        <is>
          <t>New</t>
        </is>
      </c>
    </row>
    <row r="301">
      <c r="A301" t="inlineStr">
        <is>
          <t>T100301</t>
        </is>
      </c>
      <c r="B301" s="10" t="n">
        <v>45444</v>
      </c>
      <c r="C301" t="inlineStr">
        <is>
          <t>S002</t>
        </is>
      </c>
      <c r="D301" t="inlineStr">
        <is>
          <t>Brickell</t>
        </is>
      </c>
      <c r="E301" t="inlineStr">
        <is>
          <t>Gabriel Samra</t>
        </is>
      </c>
      <c r="F301" t="inlineStr">
        <is>
          <t>GS004</t>
        </is>
      </c>
      <c r="G301" t="inlineStr">
        <is>
          <t>Blonde Conditioner</t>
        </is>
      </c>
      <c r="H301" t="inlineStr">
        <is>
          <t>Hair Care</t>
        </is>
      </c>
      <c r="I301" t="inlineStr">
        <is>
          <t>Sophia</t>
        </is>
      </c>
      <c r="J301" t="n">
        <v>84</v>
      </c>
      <c r="K301" t="n">
        <v>25.3</v>
      </c>
      <c r="L301" t="n">
        <v>77.05</v>
      </c>
      <c r="M301" t="n">
        <v>10</v>
      </c>
      <c r="N301" t="n">
        <v>6472.2</v>
      </c>
      <c r="O301" t="n">
        <v>2125.2</v>
      </c>
      <c r="P301" t="n">
        <v>4347</v>
      </c>
      <c r="Q301" t="n">
        <v>67.16</v>
      </c>
      <c r="R301" t="inlineStr">
        <is>
          <t>Cash</t>
        </is>
      </c>
      <c r="S301" t="inlineStr">
        <is>
          <t>New</t>
        </is>
      </c>
    </row>
    <row r="302">
      <c r="A302" t="inlineStr">
        <is>
          <t>T100302</t>
        </is>
      </c>
      <c r="B302" s="10" t="n">
        <v>45474</v>
      </c>
      <c r="C302" t="inlineStr">
        <is>
          <t>S002</t>
        </is>
      </c>
      <c r="D302" t="inlineStr">
        <is>
          <t>Brickell</t>
        </is>
      </c>
      <c r="E302" t="inlineStr">
        <is>
          <t>Gabriel Samra</t>
        </is>
      </c>
      <c r="F302" t="inlineStr">
        <is>
          <t>GS004</t>
        </is>
      </c>
      <c r="G302" t="inlineStr">
        <is>
          <t>Blonde Conditioner</t>
        </is>
      </c>
      <c r="H302" t="inlineStr">
        <is>
          <t>Hair Care</t>
        </is>
      </c>
      <c r="I302" t="inlineStr">
        <is>
          <t>Daniel</t>
        </is>
      </c>
      <c r="J302" t="n">
        <v>106</v>
      </c>
      <c r="K302" t="n">
        <v>16.06</v>
      </c>
      <c r="L302" t="n">
        <v>32.25</v>
      </c>
      <c r="M302" t="n">
        <v>0</v>
      </c>
      <c r="N302" t="n">
        <v>3418.5</v>
      </c>
      <c r="O302" t="n">
        <v>1702.36</v>
      </c>
      <c r="P302" t="n">
        <v>1716.14</v>
      </c>
      <c r="Q302" t="n">
        <v>50.2</v>
      </c>
      <c r="R302" t="inlineStr">
        <is>
          <t>Credit Card</t>
        </is>
      </c>
      <c r="S302" t="inlineStr">
        <is>
          <t>New</t>
        </is>
      </c>
    </row>
    <row r="303">
      <c r="A303" t="inlineStr">
        <is>
          <t>T100303</t>
        </is>
      </c>
      <c r="B303" s="10" t="n">
        <v>45505</v>
      </c>
      <c r="C303" t="inlineStr">
        <is>
          <t>S002</t>
        </is>
      </c>
      <c r="D303" t="inlineStr">
        <is>
          <t>Brickell</t>
        </is>
      </c>
      <c r="E303" t="inlineStr">
        <is>
          <t>Gabriel Samra</t>
        </is>
      </c>
      <c r="F303" t="inlineStr">
        <is>
          <t>GS004</t>
        </is>
      </c>
      <c r="G303" t="inlineStr">
        <is>
          <t>Blonde Conditioner</t>
        </is>
      </c>
      <c r="H303" t="inlineStr">
        <is>
          <t>Hair Care</t>
        </is>
      </c>
      <c r="I303" t="inlineStr">
        <is>
          <t>Lucas</t>
        </is>
      </c>
      <c r="J303" t="n">
        <v>74</v>
      </c>
      <c r="K303" t="n">
        <v>14.46</v>
      </c>
      <c r="L303" t="n">
        <v>29.73</v>
      </c>
      <c r="M303" t="n">
        <v>10</v>
      </c>
      <c r="N303" t="n">
        <v>2200.02</v>
      </c>
      <c r="O303" t="n">
        <v>1070.04</v>
      </c>
      <c r="P303" t="n">
        <v>1129.98</v>
      </c>
      <c r="Q303" t="n">
        <v>51.36</v>
      </c>
      <c r="R303" t="inlineStr">
        <is>
          <t>Credit Card</t>
        </is>
      </c>
      <c r="S303" t="inlineStr">
        <is>
          <t>Returning</t>
        </is>
      </c>
    </row>
    <row r="304">
      <c r="A304" t="inlineStr">
        <is>
          <t>T100304</t>
        </is>
      </c>
      <c r="B304" s="10" t="n">
        <v>45536</v>
      </c>
      <c r="C304" t="inlineStr">
        <is>
          <t>S002</t>
        </is>
      </c>
      <c r="D304" t="inlineStr">
        <is>
          <t>Brickell</t>
        </is>
      </c>
      <c r="E304" t="inlineStr">
        <is>
          <t>Gabriel Samra</t>
        </is>
      </c>
      <c r="F304" t="inlineStr">
        <is>
          <t>GS004</t>
        </is>
      </c>
      <c r="G304" t="inlineStr">
        <is>
          <t>Blonde Conditioner</t>
        </is>
      </c>
      <c r="H304" t="inlineStr">
        <is>
          <t>Hair Care</t>
        </is>
      </c>
      <c r="I304" t="inlineStr">
        <is>
          <t>Emma</t>
        </is>
      </c>
      <c r="J304" t="n">
        <v>78</v>
      </c>
      <c r="K304" t="n">
        <v>25.07</v>
      </c>
      <c r="L304" t="n">
        <v>80.48999999999999</v>
      </c>
      <c r="M304" t="n">
        <v>10</v>
      </c>
      <c r="N304" t="n">
        <v>6278.22</v>
      </c>
      <c r="O304" t="n">
        <v>1955.46</v>
      </c>
      <c r="P304" t="n">
        <v>4322.76</v>
      </c>
      <c r="Q304" t="n">
        <v>68.84999999999999</v>
      </c>
      <c r="R304" t="inlineStr">
        <is>
          <t>Apple Pay</t>
        </is>
      </c>
      <c r="S304" t="inlineStr">
        <is>
          <t>Returning</t>
        </is>
      </c>
    </row>
    <row r="305">
      <c r="A305" t="inlineStr">
        <is>
          <t>T100305</t>
        </is>
      </c>
      <c r="B305" s="10" t="n">
        <v>45566</v>
      </c>
      <c r="C305" t="inlineStr">
        <is>
          <t>S002</t>
        </is>
      </c>
      <c r="D305" t="inlineStr">
        <is>
          <t>Brickell</t>
        </is>
      </c>
      <c r="E305" t="inlineStr">
        <is>
          <t>Gabriel Samra</t>
        </is>
      </c>
      <c r="F305" t="inlineStr">
        <is>
          <t>GS004</t>
        </is>
      </c>
      <c r="G305" t="inlineStr">
        <is>
          <t>Blonde Conditioner</t>
        </is>
      </c>
      <c r="H305" t="inlineStr">
        <is>
          <t>Hair Care</t>
        </is>
      </c>
      <c r="I305" t="inlineStr">
        <is>
          <t>Sophia</t>
        </is>
      </c>
      <c r="J305" t="n">
        <v>90</v>
      </c>
      <c r="K305" t="n">
        <v>17.38</v>
      </c>
      <c r="L305" t="n">
        <v>39.21</v>
      </c>
      <c r="M305" t="n">
        <v>5</v>
      </c>
      <c r="N305" t="n">
        <v>3528.9</v>
      </c>
      <c r="O305" t="n">
        <v>1564.2</v>
      </c>
      <c r="P305" t="n">
        <v>1964.7</v>
      </c>
      <c r="Q305" t="n">
        <v>55.67</v>
      </c>
      <c r="R305" t="inlineStr">
        <is>
          <t>Credit Card</t>
        </is>
      </c>
      <c r="S305" t="inlineStr">
        <is>
          <t>New</t>
        </is>
      </c>
    </row>
    <row r="306">
      <c r="A306" t="inlineStr">
        <is>
          <t>T100306</t>
        </is>
      </c>
      <c r="B306" s="10" t="n">
        <v>45597</v>
      </c>
      <c r="C306" t="inlineStr">
        <is>
          <t>S002</t>
        </is>
      </c>
      <c r="D306" t="inlineStr">
        <is>
          <t>Brickell</t>
        </is>
      </c>
      <c r="E306" t="inlineStr">
        <is>
          <t>Gabriel Samra</t>
        </is>
      </c>
      <c r="F306" t="inlineStr">
        <is>
          <t>GS004</t>
        </is>
      </c>
      <c r="G306" t="inlineStr">
        <is>
          <t>Blonde Conditioner</t>
        </is>
      </c>
      <c r="H306" t="inlineStr">
        <is>
          <t>Hair Care</t>
        </is>
      </c>
      <c r="I306" t="inlineStr">
        <is>
          <t>Sophia</t>
        </is>
      </c>
      <c r="J306" t="n">
        <v>133</v>
      </c>
      <c r="K306" t="n">
        <v>29.48</v>
      </c>
      <c r="L306" t="n">
        <v>62.48</v>
      </c>
      <c r="M306" t="n">
        <v>0</v>
      </c>
      <c r="N306" t="n">
        <v>8309.84</v>
      </c>
      <c r="O306" t="n">
        <v>3920.84</v>
      </c>
      <c r="P306" t="n">
        <v>4389</v>
      </c>
      <c r="Q306" t="n">
        <v>52.82</v>
      </c>
      <c r="R306" t="inlineStr">
        <is>
          <t>Apple Pay</t>
        </is>
      </c>
      <c r="S306" t="inlineStr">
        <is>
          <t>New</t>
        </is>
      </c>
    </row>
    <row r="307">
      <c r="A307" t="inlineStr">
        <is>
          <t>T100307</t>
        </is>
      </c>
      <c r="B307" s="10" t="n">
        <v>45627</v>
      </c>
      <c r="C307" t="inlineStr">
        <is>
          <t>S002</t>
        </is>
      </c>
      <c r="D307" t="inlineStr">
        <is>
          <t>Brickell</t>
        </is>
      </c>
      <c r="E307" t="inlineStr">
        <is>
          <t>Gabriel Samra</t>
        </is>
      </c>
      <c r="F307" t="inlineStr">
        <is>
          <t>GS004</t>
        </is>
      </c>
      <c r="G307" t="inlineStr">
        <is>
          <t>Blonde Conditioner</t>
        </is>
      </c>
      <c r="H307" t="inlineStr">
        <is>
          <t>Hair Care</t>
        </is>
      </c>
      <c r="I307" t="inlineStr">
        <is>
          <t>Sophia</t>
        </is>
      </c>
      <c r="J307" t="n">
        <v>114</v>
      </c>
      <c r="K307" t="n">
        <v>34.55</v>
      </c>
      <c r="L307" t="n">
        <v>102.31</v>
      </c>
      <c r="M307" t="n">
        <v>0</v>
      </c>
      <c r="N307" t="n">
        <v>11663.34</v>
      </c>
      <c r="O307" t="n">
        <v>3938.7</v>
      </c>
      <c r="P307" t="n">
        <v>7724.64</v>
      </c>
      <c r="Q307" t="n">
        <v>66.23</v>
      </c>
      <c r="R307" t="inlineStr">
        <is>
          <t>Cash</t>
        </is>
      </c>
      <c r="S307" t="inlineStr">
        <is>
          <t>Returning</t>
        </is>
      </c>
    </row>
    <row r="308">
      <c r="A308" t="inlineStr">
        <is>
          <t>T100308</t>
        </is>
      </c>
      <c r="B308" s="10" t="n">
        <v>45658</v>
      </c>
      <c r="C308" t="inlineStr">
        <is>
          <t>S002</t>
        </is>
      </c>
      <c r="D308" t="inlineStr">
        <is>
          <t>Brickell</t>
        </is>
      </c>
      <c r="E308" t="inlineStr">
        <is>
          <t>Gabriel Samra</t>
        </is>
      </c>
      <c r="F308" t="inlineStr">
        <is>
          <t>GS004</t>
        </is>
      </c>
      <c r="G308" t="inlineStr">
        <is>
          <t>Blonde Conditioner</t>
        </is>
      </c>
      <c r="H308" t="inlineStr">
        <is>
          <t>Hair Care</t>
        </is>
      </c>
      <c r="I308" t="inlineStr">
        <is>
          <t>Emma</t>
        </is>
      </c>
      <c r="J308" t="n">
        <v>88</v>
      </c>
      <c r="K308" t="n">
        <v>23.37</v>
      </c>
      <c r="L308" t="n">
        <v>53.8</v>
      </c>
      <c r="M308" t="n">
        <v>10</v>
      </c>
      <c r="N308" t="n">
        <v>4734.4</v>
      </c>
      <c r="O308" t="n">
        <v>2056.56</v>
      </c>
      <c r="P308" t="n">
        <v>2677.84</v>
      </c>
      <c r="Q308" t="n">
        <v>56.56</v>
      </c>
      <c r="R308" t="inlineStr">
        <is>
          <t>Cash</t>
        </is>
      </c>
      <c r="S308" t="inlineStr">
        <is>
          <t>Returning</t>
        </is>
      </c>
    </row>
    <row r="309">
      <c r="A309" t="inlineStr">
        <is>
          <t>T100309</t>
        </is>
      </c>
      <c r="B309" s="10" t="n">
        <v>45689</v>
      </c>
      <c r="C309" t="inlineStr">
        <is>
          <t>S002</t>
        </is>
      </c>
      <c r="D309" t="inlineStr">
        <is>
          <t>Brickell</t>
        </is>
      </c>
      <c r="E309" t="inlineStr">
        <is>
          <t>Gabriel Samra</t>
        </is>
      </c>
      <c r="F309" t="inlineStr">
        <is>
          <t>GS004</t>
        </is>
      </c>
      <c r="G309" t="inlineStr">
        <is>
          <t>Blonde Conditioner</t>
        </is>
      </c>
      <c r="H309" t="inlineStr">
        <is>
          <t>Hair Care</t>
        </is>
      </c>
      <c r="I309" t="inlineStr">
        <is>
          <t>Olivia</t>
        </is>
      </c>
      <c r="J309" t="n">
        <v>97</v>
      </c>
      <c r="K309" t="n">
        <v>25.69</v>
      </c>
      <c r="L309" t="n">
        <v>56.44</v>
      </c>
      <c r="M309" t="n">
        <v>0</v>
      </c>
      <c r="N309" t="n">
        <v>5474.68</v>
      </c>
      <c r="O309" t="n">
        <v>2491.93</v>
      </c>
      <c r="P309" t="n">
        <v>2982.75</v>
      </c>
      <c r="Q309" t="n">
        <v>54.48</v>
      </c>
      <c r="R309" t="inlineStr">
        <is>
          <t>Credit Card</t>
        </is>
      </c>
      <c r="S309" t="inlineStr">
        <is>
          <t>Returning</t>
        </is>
      </c>
    </row>
    <row r="310">
      <c r="A310" t="inlineStr">
        <is>
          <t>T100310</t>
        </is>
      </c>
      <c r="B310" s="10" t="n">
        <v>45717</v>
      </c>
      <c r="C310" t="inlineStr">
        <is>
          <t>S002</t>
        </is>
      </c>
      <c r="D310" t="inlineStr">
        <is>
          <t>Brickell</t>
        </is>
      </c>
      <c r="E310" t="inlineStr">
        <is>
          <t>Gabriel Samra</t>
        </is>
      </c>
      <c r="F310" t="inlineStr">
        <is>
          <t>GS004</t>
        </is>
      </c>
      <c r="G310" t="inlineStr">
        <is>
          <t>Blonde Conditioner</t>
        </is>
      </c>
      <c r="H310" t="inlineStr">
        <is>
          <t>Hair Care</t>
        </is>
      </c>
      <c r="I310" t="inlineStr">
        <is>
          <t>Sophia</t>
        </is>
      </c>
      <c r="J310" t="n">
        <v>105</v>
      </c>
      <c r="K310" t="n">
        <v>28.93</v>
      </c>
      <c r="L310" t="n">
        <v>91.23999999999999</v>
      </c>
      <c r="M310" t="n">
        <v>5</v>
      </c>
      <c r="N310" t="n">
        <v>9580.200000000001</v>
      </c>
      <c r="O310" t="n">
        <v>3037.65</v>
      </c>
      <c r="P310" t="n">
        <v>6542.55</v>
      </c>
      <c r="Q310" t="n">
        <v>68.29000000000001</v>
      </c>
      <c r="R310" t="inlineStr">
        <is>
          <t>Credit Card</t>
        </is>
      </c>
      <c r="S310" t="inlineStr">
        <is>
          <t>Returning</t>
        </is>
      </c>
    </row>
    <row r="311">
      <c r="A311" t="inlineStr">
        <is>
          <t>T100311</t>
        </is>
      </c>
      <c r="B311" s="10" t="n">
        <v>45748</v>
      </c>
      <c r="C311" t="inlineStr">
        <is>
          <t>S002</t>
        </is>
      </c>
      <c r="D311" t="inlineStr">
        <is>
          <t>Brickell</t>
        </is>
      </c>
      <c r="E311" t="inlineStr">
        <is>
          <t>Gabriel Samra</t>
        </is>
      </c>
      <c r="F311" t="inlineStr">
        <is>
          <t>GS004</t>
        </is>
      </c>
      <c r="G311" t="inlineStr">
        <is>
          <t>Blonde Conditioner</t>
        </is>
      </c>
      <c r="H311" t="inlineStr">
        <is>
          <t>Hair Care</t>
        </is>
      </c>
      <c r="I311" t="inlineStr">
        <is>
          <t>Sophia</t>
        </is>
      </c>
      <c r="J311" t="n">
        <v>105</v>
      </c>
      <c r="K311" t="n">
        <v>17.62</v>
      </c>
      <c r="L311" t="n">
        <v>60.41</v>
      </c>
      <c r="M311" t="n">
        <v>0</v>
      </c>
      <c r="N311" t="n">
        <v>6343.05</v>
      </c>
      <c r="O311" t="n">
        <v>1850.1</v>
      </c>
      <c r="P311" t="n">
        <v>4492.95</v>
      </c>
      <c r="Q311" t="n">
        <v>70.83</v>
      </c>
      <c r="R311" t="inlineStr">
        <is>
          <t>Apple Pay</t>
        </is>
      </c>
      <c r="S311" t="inlineStr">
        <is>
          <t>Returning</t>
        </is>
      </c>
    </row>
    <row r="312">
      <c r="A312" t="inlineStr">
        <is>
          <t>T100312</t>
        </is>
      </c>
      <c r="B312" s="10" t="n">
        <v>45778</v>
      </c>
      <c r="C312" t="inlineStr">
        <is>
          <t>S002</t>
        </is>
      </c>
      <c r="D312" t="inlineStr">
        <is>
          <t>Brickell</t>
        </is>
      </c>
      <c r="E312" t="inlineStr">
        <is>
          <t>Gabriel Samra</t>
        </is>
      </c>
      <c r="F312" t="inlineStr">
        <is>
          <t>GS004</t>
        </is>
      </c>
      <c r="G312" t="inlineStr">
        <is>
          <t>Blonde Conditioner</t>
        </is>
      </c>
      <c r="H312" t="inlineStr">
        <is>
          <t>Hair Care</t>
        </is>
      </c>
      <c r="I312" t="inlineStr">
        <is>
          <t>Sophia</t>
        </is>
      </c>
      <c r="J312" t="n">
        <v>107</v>
      </c>
      <c r="K312" t="n">
        <v>14</v>
      </c>
      <c r="L312" t="n">
        <v>40.79</v>
      </c>
      <c r="M312" t="n">
        <v>10</v>
      </c>
      <c r="N312" t="n">
        <v>4364.53</v>
      </c>
      <c r="O312" t="n">
        <v>1498</v>
      </c>
      <c r="P312" t="n">
        <v>2866.53</v>
      </c>
      <c r="Q312" t="n">
        <v>65.68000000000001</v>
      </c>
      <c r="R312" t="inlineStr">
        <is>
          <t>Credit Card</t>
        </is>
      </c>
      <c r="S312" t="inlineStr">
        <is>
          <t>New</t>
        </is>
      </c>
    </row>
    <row r="313">
      <c r="A313" t="inlineStr">
        <is>
          <t>T100313</t>
        </is>
      </c>
      <c r="B313" s="10" t="n">
        <v>45809</v>
      </c>
      <c r="C313" t="inlineStr">
        <is>
          <t>S002</t>
        </is>
      </c>
      <c r="D313" t="inlineStr">
        <is>
          <t>Brickell</t>
        </is>
      </c>
      <c r="E313" t="inlineStr">
        <is>
          <t>Gabriel Samra</t>
        </is>
      </c>
      <c r="F313" t="inlineStr">
        <is>
          <t>GS004</t>
        </is>
      </c>
      <c r="G313" t="inlineStr">
        <is>
          <t>Blonde Conditioner</t>
        </is>
      </c>
      <c r="H313" t="inlineStr">
        <is>
          <t>Hair Care</t>
        </is>
      </c>
      <c r="I313" t="inlineStr">
        <is>
          <t>Lucas</t>
        </is>
      </c>
      <c r="J313" t="n">
        <v>122</v>
      </c>
      <c r="K313" t="n">
        <v>22.36</v>
      </c>
      <c r="L313" t="n">
        <v>72.72</v>
      </c>
      <c r="M313" t="n">
        <v>0</v>
      </c>
      <c r="N313" t="n">
        <v>8871.84</v>
      </c>
      <c r="O313" t="n">
        <v>2727.92</v>
      </c>
      <c r="P313" t="n">
        <v>6143.92</v>
      </c>
      <c r="Q313" t="n">
        <v>69.25</v>
      </c>
      <c r="R313" t="inlineStr">
        <is>
          <t>Cash</t>
        </is>
      </c>
      <c r="S313" t="inlineStr">
        <is>
          <t>New</t>
        </is>
      </c>
    </row>
    <row r="314">
      <c r="A314" t="inlineStr">
        <is>
          <t>T100314</t>
        </is>
      </c>
      <c r="B314" s="10" t="n">
        <v>45292</v>
      </c>
      <c r="C314" t="inlineStr">
        <is>
          <t>S002</t>
        </is>
      </c>
      <c r="D314" t="inlineStr">
        <is>
          <t>Brickell</t>
        </is>
      </c>
      <c r="E314" t="inlineStr">
        <is>
          <t>Gabriel Samra</t>
        </is>
      </c>
      <c r="F314" t="inlineStr">
        <is>
          <t>GS005</t>
        </is>
      </c>
      <c r="G314" t="inlineStr">
        <is>
          <t>Hair Oil Serum</t>
        </is>
      </c>
      <c r="H314" t="inlineStr">
        <is>
          <t>Styling</t>
        </is>
      </c>
      <c r="I314" t="inlineStr">
        <is>
          <t>Lucas</t>
        </is>
      </c>
      <c r="J314" t="n">
        <v>76</v>
      </c>
      <c r="K314" t="n">
        <v>23.7</v>
      </c>
      <c r="L314" t="n">
        <v>56.65</v>
      </c>
      <c r="M314" t="n">
        <v>0</v>
      </c>
      <c r="N314" t="n">
        <v>4305.4</v>
      </c>
      <c r="O314" t="n">
        <v>1801.2</v>
      </c>
      <c r="P314" t="n">
        <v>2504.2</v>
      </c>
      <c r="Q314" t="n">
        <v>58.16</v>
      </c>
      <c r="R314" t="inlineStr">
        <is>
          <t>Cash</t>
        </is>
      </c>
      <c r="S314" t="inlineStr">
        <is>
          <t>New</t>
        </is>
      </c>
    </row>
    <row r="315">
      <c r="A315" t="inlineStr">
        <is>
          <t>T100315</t>
        </is>
      </c>
      <c r="B315" s="10" t="n">
        <v>45323</v>
      </c>
      <c r="C315" t="inlineStr">
        <is>
          <t>S002</t>
        </is>
      </c>
      <c r="D315" t="inlineStr">
        <is>
          <t>Brickell</t>
        </is>
      </c>
      <c r="E315" t="inlineStr">
        <is>
          <t>Gabriel Samra</t>
        </is>
      </c>
      <c r="F315" t="inlineStr">
        <is>
          <t>GS005</t>
        </is>
      </c>
      <c r="G315" t="inlineStr">
        <is>
          <t>Hair Oil Serum</t>
        </is>
      </c>
      <c r="H315" t="inlineStr">
        <is>
          <t>Styling</t>
        </is>
      </c>
      <c r="I315" t="inlineStr">
        <is>
          <t>Olivia</t>
        </is>
      </c>
      <c r="J315" t="n">
        <v>69</v>
      </c>
      <c r="K315" t="n">
        <v>25.75</v>
      </c>
      <c r="L315" t="n">
        <v>55.69</v>
      </c>
      <c r="M315" t="n">
        <v>0</v>
      </c>
      <c r="N315" t="n">
        <v>3842.61</v>
      </c>
      <c r="O315" t="n">
        <v>1776.75</v>
      </c>
      <c r="P315" t="n">
        <v>2065.86</v>
      </c>
      <c r="Q315" t="n">
        <v>53.76</v>
      </c>
      <c r="R315" t="inlineStr">
        <is>
          <t>Cash</t>
        </is>
      </c>
      <c r="S315" t="inlineStr">
        <is>
          <t>New</t>
        </is>
      </c>
    </row>
    <row r="316">
      <c r="A316" t="inlineStr">
        <is>
          <t>T100316</t>
        </is>
      </c>
      <c r="B316" s="10" t="n">
        <v>45352</v>
      </c>
      <c r="C316" t="inlineStr">
        <is>
          <t>S002</t>
        </is>
      </c>
      <c r="D316" t="inlineStr">
        <is>
          <t>Brickell</t>
        </is>
      </c>
      <c r="E316" t="inlineStr">
        <is>
          <t>Gabriel Samra</t>
        </is>
      </c>
      <c r="F316" t="inlineStr">
        <is>
          <t>GS005</t>
        </is>
      </c>
      <c r="G316" t="inlineStr">
        <is>
          <t>Hair Oil Serum</t>
        </is>
      </c>
      <c r="H316" t="inlineStr">
        <is>
          <t>Styling</t>
        </is>
      </c>
      <c r="I316" t="inlineStr">
        <is>
          <t>Sophia</t>
        </is>
      </c>
      <c r="J316" t="n">
        <v>75</v>
      </c>
      <c r="K316" t="n">
        <v>27.4</v>
      </c>
      <c r="L316" t="n">
        <v>68.95999999999999</v>
      </c>
      <c r="M316" t="n">
        <v>10</v>
      </c>
      <c r="N316" t="n">
        <v>5172</v>
      </c>
      <c r="O316" t="n">
        <v>2055</v>
      </c>
      <c r="P316" t="n">
        <v>3117</v>
      </c>
      <c r="Q316" t="n">
        <v>60.27</v>
      </c>
      <c r="R316" t="inlineStr">
        <is>
          <t>Apple Pay</t>
        </is>
      </c>
      <c r="S316" t="inlineStr">
        <is>
          <t>New</t>
        </is>
      </c>
    </row>
    <row r="317">
      <c r="A317" t="inlineStr">
        <is>
          <t>T100317</t>
        </is>
      </c>
      <c r="B317" s="10" t="n">
        <v>45383</v>
      </c>
      <c r="C317" t="inlineStr">
        <is>
          <t>S002</t>
        </is>
      </c>
      <c r="D317" t="inlineStr">
        <is>
          <t>Brickell</t>
        </is>
      </c>
      <c r="E317" t="inlineStr">
        <is>
          <t>Gabriel Samra</t>
        </is>
      </c>
      <c r="F317" t="inlineStr">
        <is>
          <t>GS005</t>
        </is>
      </c>
      <c r="G317" t="inlineStr">
        <is>
          <t>Hair Oil Serum</t>
        </is>
      </c>
      <c r="H317" t="inlineStr">
        <is>
          <t>Styling</t>
        </is>
      </c>
      <c r="I317" t="inlineStr">
        <is>
          <t>Daniel</t>
        </is>
      </c>
      <c r="J317" t="n">
        <v>68</v>
      </c>
      <c r="K317" t="n">
        <v>34.06</v>
      </c>
      <c r="L317" t="n">
        <v>118.41</v>
      </c>
      <c r="M317" t="n">
        <v>5</v>
      </c>
      <c r="N317" t="n">
        <v>8051.88</v>
      </c>
      <c r="O317" t="n">
        <v>2316.08</v>
      </c>
      <c r="P317" t="n">
        <v>5735.8</v>
      </c>
      <c r="Q317" t="n">
        <v>71.23999999999999</v>
      </c>
      <c r="R317" t="inlineStr">
        <is>
          <t>Cash</t>
        </is>
      </c>
      <c r="S317" t="inlineStr">
        <is>
          <t>New</t>
        </is>
      </c>
    </row>
    <row r="318">
      <c r="A318" t="inlineStr">
        <is>
          <t>T100318</t>
        </is>
      </c>
      <c r="B318" s="10" t="n">
        <v>45413</v>
      </c>
      <c r="C318" t="inlineStr">
        <is>
          <t>S002</t>
        </is>
      </c>
      <c r="D318" t="inlineStr">
        <is>
          <t>Brickell</t>
        </is>
      </c>
      <c r="E318" t="inlineStr">
        <is>
          <t>Gabriel Samra</t>
        </is>
      </c>
      <c r="F318" t="inlineStr">
        <is>
          <t>GS005</t>
        </is>
      </c>
      <c r="G318" t="inlineStr">
        <is>
          <t>Hair Oil Serum</t>
        </is>
      </c>
      <c r="H318" t="inlineStr">
        <is>
          <t>Styling</t>
        </is>
      </c>
      <c r="I318" t="inlineStr">
        <is>
          <t>Olivia</t>
        </is>
      </c>
      <c r="J318" t="n">
        <v>69</v>
      </c>
      <c r="K318" t="n">
        <v>26.11</v>
      </c>
      <c r="L318" t="n">
        <v>90.48</v>
      </c>
      <c r="M318" t="n">
        <v>10</v>
      </c>
      <c r="N318" t="n">
        <v>6243.12</v>
      </c>
      <c r="O318" t="n">
        <v>1801.59</v>
      </c>
      <c r="P318" t="n">
        <v>4441.53</v>
      </c>
      <c r="Q318" t="n">
        <v>71.14</v>
      </c>
      <c r="R318" t="inlineStr">
        <is>
          <t>Apple Pay</t>
        </is>
      </c>
      <c r="S318" t="inlineStr">
        <is>
          <t>Returning</t>
        </is>
      </c>
    </row>
    <row r="319">
      <c r="A319" t="inlineStr">
        <is>
          <t>T100319</t>
        </is>
      </c>
      <c r="B319" s="10" t="n">
        <v>45444</v>
      </c>
      <c r="C319" t="inlineStr">
        <is>
          <t>S002</t>
        </is>
      </c>
      <c r="D319" t="inlineStr">
        <is>
          <t>Brickell</t>
        </is>
      </c>
      <c r="E319" t="inlineStr">
        <is>
          <t>Gabriel Samra</t>
        </is>
      </c>
      <c r="F319" t="inlineStr">
        <is>
          <t>GS005</t>
        </is>
      </c>
      <c r="G319" t="inlineStr">
        <is>
          <t>Hair Oil Serum</t>
        </is>
      </c>
      <c r="H319" t="inlineStr">
        <is>
          <t>Styling</t>
        </is>
      </c>
      <c r="I319" t="inlineStr">
        <is>
          <t>Daniel</t>
        </is>
      </c>
      <c r="J319" t="n">
        <v>82</v>
      </c>
      <c r="K319" t="n">
        <v>12.31</v>
      </c>
      <c r="L319" t="n">
        <v>38.35</v>
      </c>
      <c r="M319" t="n">
        <v>0</v>
      </c>
      <c r="N319" t="n">
        <v>3144.7</v>
      </c>
      <c r="O319" t="n">
        <v>1009.42</v>
      </c>
      <c r="P319" t="n">
        <v>2135.28</v>
      </c>
      <c r="Q319" t="n">
        <v>67.90000000000001</v>
      </c>
      <c r="R319" t="inlineStr">
        <is>
          <t>Credit Card</t>
        </is>
      </c>
      <c r="S319" t="inlineStr">
        <is>
          <t>Returning</t>
        </is>
      </c>
    </row>
    <row r="320">
      <c r="A320" t="inlineStr">
        <is>
          <t>T100320</t>
        </is>
      </c>
      <c r="B320" s="10" t="n">
        <v>45474</v>
      </c>
      <c r="C320" t="inlineStr">
        <is>
          <t>S002</t>
        </is>
      </c>
      <c r="D320" t="inlineStr">
        <is>
          <t>Brickell</t>
        </is>
      </c>
      <c r="E320" t="inlineStr">
        <is>
          <t>Gabriel Samra</t>
        </is>
      </c>
      <c r="F320" t="inlineStr">
        <is>
          <t>GS005</t>
        </is>
      </c>
      <c r="G320" t="inlineStr">
        <is>
          <t>Hair Oil Serum</t>
        </is>
      </c>
      <c r="H320" t="inlineStr">
        <is>
          <t>Styling</t>
        </is>
      </c>
      <c r="I320" t="inlineStr">
        <is>
          <t>Sophia</t>
        </is>
      </c>
      <c r="J320" t="n">
        <v>101</v>
      </c>
      <c r="K320" t="n">
        <v>13.24</v>
      </c>
      <c r="L320" t="n">
        <v>44.83</v>
      </c>
      <c r="M320" t="n">
        <v>0</v>
      </c>
      <c r="N320" t="n">
        <v>4527.83</v>
      </c>
      <c r="O320" t="n">
        <v>1337.24</v>
      </c>
      <c r="P320" t="n">
        <v>3190.59</v>
      </c>
      <c r="Q320" t="n">
        <v>70.47</v>
      </c>
      <c r="R320" t="inlineStr">
        <is>
          <t>Apple Pay</t>
        </is>
      </c>
      <c r="S320" t="inlineStr">
        <is>
          <t>Returning</t>
        </is>
      </c>
    </row>
    <row r="321">
      <c r="A321" t="inlineStr">
        <is>
          <t>T100321</t>
        </is>
      </c>
      <c r="B321" s="10" t="n">
        <v>45505</v>
      </c>
      <c r="C321" t="inlineStr">
        <is>
          <t>S002</t>
        </is>
      </c>
      <c r="D321" t="inlineStr">
        <is>
          <t>Brickell</t>
        </is>
      </c>
      <c r="E321" t="inlineStr">
        <is>
          <t>Gabriel Samra</t>
        </is>
      </c>
      <c r="F321" t="inlineStr">
        <is>
          <t>GS005</t>
        </is>
      </c>
      <c r="G321" t="inlineStr">
        <is>
          <t>Hair Oil Serum</t>
        </is>
      </c>
      <c r="H321" t="inlineStr">
        <is>
          <t>Styling</t>
        </is>
      </c>
      <c r="I321" t="inlineStr">
        <is>
          <t>Lucas</t>
        </is>
      </c>
      <c r="J321" t="n">
        <v>79</v>
      </c>
      <c r="K321" t="n">
        <v>31.66</v>
      </c>
      <c r="L321" t="n">
        <v>96.61</v>
      </c>
      <c r="M321" t="n">
        <v>5</v>
      </c>
      <c r="N321" t="n">
        <v>7632.19</v>
      </c>
      <c r="O321" t="n">
        <v>2501.14</v>
      </c>
      <c r="P321" t="n">
        <v>5131.05</v>
      </c>
      <c r="Q321" t="n">
        <v>67.23</v>
      </c>
      <c r="R321" t="inlineStr">
        <is>
          <t>Credit Card</t>
        </is>
      </c>
      <c r="S321" t="inlineStr">
        <is>
          <t>Returning</t>
        </is>
      </c>
    </row>
    <row r="322">
      <c r="A322" t="inlineStr">
        <is>
          <t>T100322</t>
        </is>
      </c>
      <c r="B322" s="10" t="n">
        <v>45536</v>
      </c>
      <c r="C322" t="inlineStr">
        <is>
          <t>S002</t>
        </is>
      </c>
      <c r="D322" t="inlineStr">
        <is>
          <t>Brickell</t>
        </is>
      </c>
      <c r="E322" t="inlineStr">
        <is>
          <t>Gabriel Samra</t>
        </is>
      </c>
      <c r="F322" t="inlineStr">
        <is>
          <t>GS005</t>
        </is>
      </c>
      <c r="G322" t="inlineStr">
        <is>
          <t>Hair Oil Serum</t>
        </is>
      </c>
      <c r="H322" t="inlineStr">
        <is>
          <t>Styling</t>
        </is>
      </c>
      <c r="I322" t="inlineStr">
        <is>
          <t>Emma</t>
        </is>
      </c>
      <c r="J322" t="n">
        <v>80</v>
      </c>
      <c r="K322" t="n">
        <v>24.01</v>
      </c>
      <c r="L322" t="n">
        <v>66.55</v>
      </c>
      <c r="M322" t="n">
        <v>0</v>
      </c>
      <c r="N322" t="n">
        <v>5324</v>
      </c>
      <c r="O322" t="n">
        <v>1920.8</v>
      </c>
      <c r="P322" t="n">
        <v>3403.2</v>
      </c>
      <c r="Q322" t="n">
        <v>63.92</v>
      </c>
      <c r="R322" t="inlineStr">
        <is>
          <t>Apple Pay</t>
        </is>
      </c>
      <c r="S322" t="inlineStr">
        <is>
          <t>Returning</t>
        </is>
      </c>
    </row>
    <row r="323">
      <c r="A323" t="inlineStr">
        <is>
          <t>T100323</t>
        </is>
      </c>
      <c r="B323" s="10" t="n">
        <v>45566</v>
      </c>
      <c r="C323" t="inlineStr">
        <is>
          <t>S002</t>
        </is>
      </c>
      <c r="D323" t="inlineStr">
        <is>
          <t>Brickell</t>
        </is>
      </c>
      <c r="E323" t="inlineStr">
        <is>
          <t>Gabriel Samra</t>
        </is>
      </c>
      <c r="F323" t="inlineStr">
        <is>
          <t>GS005</t>
        </is>
      </c>
      <c r="G323" t="inlineStr">
        <is>
          <t>Hair Oil Serum</t>
        </is>
      </c>
      <c r="H323" t="inlineStr">
        <is>
          <t>Styling</t>
        </is>
      </c>
      <c r="I323" t="inlineStr">
        <is>
          <t>Emma</t>
        </is>
      </c>
      <c r="J323" t="n">
        <v>77</v>
      </c>
      <c r="K323" t="n">
        <v>21.4</v>
      </c>
      <c r="L323" t="n">
        <v>62.36</v>
      </c>
      <c r="M323" t="n">
        <v>0</v>
      </c>
      <c r="N323" t="n">
        <v>4801.72</v>
      </c>
      <c r="O323" t="n">
        <v>1647.8</v>
      </c>
      <c r="P323" t="n">
        <v>3153.92</v>
      </c>
      <c r="Q323" t="n">
        <v>65.68000000000001</v>
      </c>
      <c r="R323" t="inlineStr">
        <is>
          <t>Credit Card</t>
        </is>
      </c>
      <c r="S323" t="inlineStr">
        <is>
          <t>Returning</t>
        </is>
      </c>
    </row>
    <row r="324">
      <c r="A324" t="inlineStr">
        <is>
          <t>T100324</t>
        </is>
      </c>
      <c r="B324" s="10" t="n">
        <v>45597</v>
      </c>
      <c r="C324" t="inlineStr">
        <is>
          <t>S002</t>
        </is>
      </c>
      <c r="D324" t="inlineStr">
        <is>
          <t>Brickell</t>
        </is>
      </c>
      <c r="E324" t="inlineStr">
        <is>
          <t>Gabriel Samra</t>
        </is>
      </c>
      <c r="F324" t="inlineStr">
        <is>
          <t>GS005</t>
        </is>
      </c>
      <c r="G324" t="inlineStr">
        <is>
          <t>Hair Oil Serum</t>
        </is>
      </c>
      <c r="H324" t="inlineStr">
        <is>
          <t>Styling</t>
        </is>
      </c>
      <c r="I324" t="inlineStr">
        <is>
          <t>Olivia</t>
        </is>
      </c>
      <c r="J324" t="n">
        <v>106</v>
      </c>
      <c r="K324" t="n">
        <v>20.86</v>
      </c>
      <c r="L324" t="n">
        <v>57.68</v>
      </c>
      <c r="M324" t="n">
        <v>10</v>
      </c>
      <c r="N324" t="n">
        <v>6114.08</v>
      </c>
      <c r="O324" t="n">
        <v>2211.16</v>
      </c>
      <c r="P324" t="n">
        <v>3902.92</v>
      </c>
      <c r="Q324" t="n">
        <v>63.83</v>
      </c>
      <c r="R324" t="inlineStr">
        <is>
          <t>Apple Pay</t>
        </is>
      </c>
      <c r="S324" t="inlineStr">
        <is>
          <t>Returning</t>
        </is>
      </c>
    </row>
    <row r="325">
      <c r="A325" t="inlineStr">
        <is>
          <t>T100325</t>
        </is>
      </c>
      <c r="B325" s="10" t="n">
        <v>45627</v>
      </c>
      <c r="C325" t="inlineStr">
        <is>
          <t>S002</t>
        </is>
      </c>
      <c r="D325" t="inlineStr">
        <is>
          <t>Brickell</t>
        </is>
      </c>
      <c r="E325" t="inlineStr">
        <is>
          <t>Gabriel Samra</t>
        </is>
      </c>
      <c r="F325" t="inlineStr">
        <is>
          <t>GS005</t>
        </is>
      </c>
      <c r="G325" t="inlineStr">
        <is>
          <t>Hair Oil Serum</t>
        </is>
      </c>
      <c r="H325" t="inlineStr">
        <is>
          <t>Styling</t>
        </is>
      </c>
      <c r="I325" t="inlineStr">
        <is>
          <t>Daniel</t>
        </is>
      </c>
      <c r="J325" t="n">
        <v>119</v>
      </c>
      <c r="K325" t="n">
        <v>18.3</v>
      </c>
      <c r="L325" t="n">
        <v>42.44</v>
      </c>
      <c r="M325" t="n">
        <v>0</v>
      </c>
      <c r="N325" t="n">
        <v>5050.36</v>
      </c>
      <c r="O325" t="n">
        <v>2177.7</v>
      </c>
      <c r="P325" t="n">
        <v>2872.66</v>
      </c>
      <c r="Q325" t="n">
        <v>56.88</v>
      </c>
      <c r="R325" t="inlineStr">
        <is>
          <t>Credit Card</t>
        </is>
      </c>
      <c r="S325" t="inlineStr">
        <is>
          <t>Returning</t>
        </is>
      </c>
    </row>
    <row r="326">
      <c r="A326" t="inlineStr">
        <is>
          <t>T100326</t>
        </is>
      </c>
      <c r="B326" s="10" t="n">
        <v>45658</v>
      </c>
      <c r="C326" t="inlineStr">
        <is>
          <t>S002</t>
        </is>
      </c>
      <c r="D326" t="inlineStr">
        <is>
          <t>Brickell</t>
        </is>
      </c>
      <c r="E326" t="inlineStr">
        <is>
          <t>Gabriel Samra</t>
        </is>
      </c>
      <c r="F326" t="inlineStr">
        <is>
          <t>GS005</t>
        </is>
      </c>
      <c r="G326" t="inlineStr">
        <is>
          <t>Hair Oil Serum</t>
        </is>
      </c>
      <c r="H326" t="inlineStr">
        <is>
          <t>Styling</t>
        </is>
      </c>
      <c r="I326" t="inlineStr">
        <is>
          <t>Daniel</t>
        </is>
      </c>
      <c r="J326" t="n">
        <v>103</v>
      </c>
      <c r="K326" t="n">
        <v>28.42</v>
      </c>
      <c r="L326" t="n">
        <v>76.08</v>
      </c>
      <c r="M326" t="n">
        <v>0</v>
      </c>
      <c r="N326" t="n">
        <v>7836.24</v>
      </c>
      <c r="O326" t="n">
        <v>2927.26</v>
      </c>
      <c r="P326" t="n">
        <v>4908.98</v>
      </c>
      <c r="Q326" t="n">
        <v>62.64</v>
      </c>
      <c r="R326" t="inlineStr">
        <is>
          <t>Credit Card</t>
        </is>
      </c>
      <c r="S326" t="inlineStr">
        <is>
          <t>New</t>
        </is>
      </c>
    </row>
    <row r="327">
      <c r="A327" t="inlineStr">
        <is>
          <t>T100327</t>
        </is>
      </c>
      <c r="B327" s="10" t="n">
        <v>45689</v>
      </c>
      <c r="C327" t="inlineStr">
        <is>
          <t>S002</t>
        </is>
      </c>
      <c r="D327" t="inlineStr">
        <is>
          <t>Brickell</t>
        </is>
      </c>
      <c r="E327" t="inlineStr">
        <is>
          <t>Gabriel Samra</t>
        </is>
      </c>
      <c r="F327" t="inlineStr">
        <is>
          <t>GS005</t>
        </is>
      </c>
      <c r="G327" t="inlineStr">
        <is>
          <t>Hair Oil Serum</t>
        </is>
      </c>
      <c r="H327" t="inlineStr">
        <is>
          <t>Styling</t>
        </is>
      </c>
      <c r="I327" t="inlineStr">
        <is>
          <t>Emma</t>
        </is>
      </c>
      <c r="J327" t="n">
        <v>94</v>
      </c>
      <c r="K327" t="n">
        <v>15.36</v>
      </c>
      <c r="L327" t="n">
        <v>44.84</v>
      </c>
      <c r="M327" t="n">
        <v>5</v>
      </c>
      <c r="N327" t="n">
        <v>4214.96</v>
      </c>
      <c r="O327" t="n">
        <v>1443.84</v>
      </c>
      <c r="P327" t="n">
        <v>2771.12</v>
      </c>
      <c r="Q327" t="n">
        <v>65.73999999999999</v>
      </c>
      <c r="R327" t="inlineStr">
        <is>
          <t>Apple Pay</t>
        </is>
      </c>
      <c r="S327" t="inlineStr">
        <is>
          <t>Returning</t>
        </is>
      </c>
    </row>
    <row r="328">
      <c r="A328" t="inlineStr">
        <is>
          <t>T100328</t>
        </is>
      </c>
      <c r="B328" s="10" t="n">
        <v>45717</v>
      </c>
      <c r="C328" t="inlineStr">
        <is>
          <t>S002</t>
        </is>
      </c>
      <c r="D328" t="inlineStr">
        <is>
          <t>Brickell</t>
        </is>
      </c>
      <c r="E328" t="inlineStr">
        <is>
          <t>Gabriel Samra</t>
        </is>
      </c>
      <c r="F328" t="inlineStr">
        <is>
          <t>GS005</t>
        </is>
      </c>
      <c r="G328" t="inlineStr">
        <is>
          <t>Hair Oil Serum</t>
        </is>
      </c>
      <c r="H328" t="inlineStr">
        <is>
          <t>Styling</t>
        </is>
      </c>
      <c r="I328" t="inlineStr">
        <is>
          <t>Sophia</t>
        </is>
      </c>
      <c r="J328" t="n">
        <v>106</v>
      </c>
      <c r="K328" t="n">
        <v>19.28</v>
      </c>
      <c r="L328" t="n">
        <v>55.24</v>
      </c>
      <c r="M328" t="n">
        <v>10</v>
      </c>
      <c r="N328" t="n">
        <v>5855.44</v>
      </c>
      <c r="O328" t="n">
        <v>2043.68</v>
      </c>
      <c r="P328" t="n">
        <v>3811.76</v>
      </c>
      <c r="Q328" t="n">
        <v>65.09999999999999</v>
      </c>
      <c r="R328" t="inlineStr">
        <is>
          <t>Cash</t>
        </is>
      </c>
      <c r="S328" t="inlineStr">
        <is>
          <t>Returning</t>
        </is>
      </c>
    </row>
    <row r="329">
      <c r="A329" t="inlineStr">
        <is>
          <t>T100329</t>
        </is>
      </c>
      <c r="B329" s="10" t="n">
        <v>45748</v>
      </c>
      <c r="C329" t="inlineStr">
        <is>
          <t>S002</t>
        </is>
      </c>
      <c r="D329" t="inlineStr">
        <is>
          <t>Brickell</t>
        </is>
      </c>
      <c r="E329" t="inlineStr">
        <is>
          <t>Gabriel Samra</t>
        </is>
      </c>
      <c r="F329" t="inlineStr">
        <is>
          <t>GS005</t>
        </is>
      </c>
      <c r="G329" t="inlineStr">
        <is>
          <t>Hair Oil Serum</t>
        </is>
      </c>
      <c r="H329" t="inlineStr">
        <is>
          <t>Styling</t>
        </is>
      </c>
      <c r="I329" t="inlineStr">
        <is>
          <t>Lucas</t>
        </is>
      </c>
      <c r="J329" t="n">
        <v>108</v>
      </c>
      <c r="K329" t="n">
        <v>12.63</v>
      </c>
      <c r="L329" t="n">
        <v>37.31</v>
      </c>
      <c r="M329" t="n">
        <v>0</v>
      </c>
      <c r="N329" t="n">
        <v>4029.48</v>
      </c>
      <c r="O329" t="n">
        <v>1364.04</v>
      </c>
      <c r="P329" t="n">
        <v>2665.44</v>
      </c>
      <c r="Q329" t="n">
        <v>66.15000000000001</v>
      </c>
      <c r="R329" t="inlineStr">
        <is>
          <t>Apple Pay</t>
        </is>
      </c>
      <c r="S329" t="inlineStr">
        <is>
          <t>Returning</t>
        </is>
      </c>
    </row>
    <row r="330">
      <c r="A330" t="inlineStr">
        <is>
          <t>T100330</t>
        </is>
      </c>
      <c r="B330" s="10" t="n">
        <v>45778</v>
      </c>
      <c r="C330" t="inlineStr">
        <is>
          <t>S002</t>
        </is>
      </c>
      <c r="D330" t="inlineStr">
        <is>
          <t>Brickell</t>
        </is>
      </c>
      <c r="E330" t="inlineStr">
        <is>
          <t>Gabriel Samra</t>
        </is>
      </c>
      <c r="F330" t="inlineStr">
        <is>
          <t>GS005</t>
        </is>
      </c>
      <c r="G330" t="inlineStr">
        <is>
          <t>Hair Oil Serum</t>
        </is>
      </c>
      <c r="H330" t="inlineStr">
        <is>
          <t>Styling</t>
        </is>
      </c>
      <c r="I330" t="inlineStr">
        <is>
          <t>Sophia</t>
        </is>
      </c>
      <c r="J330" t="n">
        <v>91</v>
      </c>
      <c r="K330" t="n">
        <v>31.98</v>
      </c>
      <c r="L330" t="n">
        <v>80.7</v>
      </c>
      <c r="M330" t="n">
        <v>0</v>
      </c>
      <c r="N330" t="n">
        <v>7343.7</v>
      </c>
      <c r="O330" t="n">
        <v>2910.18</v>
      </c>
      <c r="P330" t="n">
        <v>4433.52</v>
      </c>
      <c r="Q330" t="n">
        <v>60.37</v>
      </c>
      <c r="R330" t="inlineStr">
        <is>
          <t>Apple Pay</t>
        </is>
      </c>
      <c r="S330" t="inlineStr">
        <is>
          <t>New</t>
        </is>
      </c>
    </row>
    <row r="331">
      <c r="A331" t="inlineStr">
        <is>
          <t>T100331</t>
        </is>
      </c>
      <c r="B331" s="10" t="n">
        <v>45809</v>
      </c>
      <c r="C331" t="inlineStr">
        <is>
          <t>S002</t>
        </is>
      </c>
      <c r="D331" t="inlineStr">
        <is>
          <t>Brickell</t>
        </is>
      </c>
      <c r="E331" t="inlineStr">
        <is>
          <t>Gabriel Samra</t>
        </is>
      </c>
      <c r="F331" t="inlineStr">
        <is>
          <t>GS005</t>
        </is>
      </c>
      <c r="G331" t="inlineStr">
        <is>
          <t>Hair Oil Serum</t>
        </is>
      </c>
      <c r="H331" t="inlineStr">
        <is>
          <t>Styling</t>
        </is>
      </c>
      <c r="I331" t="inlineStr">
        <is>
          <t>Sophia</t>
        </is>
      </c>
      <c r="J331" t="n">
        <v>130</v>
      </c>
      <c r="K331" t="n">
        <v>25.65</v>
      </c>
      <c r="L331" t="n">
        <v>54.79</v>
      </c>
      <c r="M331" t="n">
        <v>5</v>
      </c>
      <c r="N331" t="n">
        <v>7122.7</v>
      </c>
      <c r="O331" t="n">
        <v>3334.5</v>
      </c>
      <c r="P331" t="n">
        <v>3788.2</v>
      </c>
      <c r="Q331" t="n">
        <v>53.18</v>
      </c>
      <c r="R331" t="inlineStr">
        <is>
          <t>Credit Card</t>
        </is>
      </c>
      <c r="S331" t="inlineStr">
        <is>
          <t>Returning</t>
        </is>
      </c>
    </row>
    <row r="332">
      <c r="A332" t="inlineStr">
        <is>
          <t>T100332</t>
        </is>
      </c>
      <c r="B332" s="10" t="n">
        <v>45292</v>
      </c>
      <c r="C332" t="inlineStr">
        <is>
          <t>S003</t>
        </is>
      </c>
      <c r="D332" t="inlineStr">
        <is>
          <t>Coral Gables</t>
        </is>
      </c>
      <c r="E332" t="inlineStr">
        <is>
          <t>Gabriel Samra</t>
        </is>
      </c>
      <c r="F332" t="inlineStr">
        <is>
          <t>GS001</t>
        </is>
      </c>
      <c r="G332" t="inlineStr">
        <is>
          <t>Keratin Treatment</t>
        </is>
      </c>
      <c r="H332" t="inlineStr">
        <is>
          <t>Hair Treatment</t>
        </is>
      </c>
      <c r="I332" t="inlineStr">
        <is>
          <t>Lucas</t>
        </is>
      </c>
      <c r="J332" t="n">
        <v>59</v>
      </c>
      <c r="K332" t="n">
        <v>14.58</v>
      </c>
      <c r="L332" t="n">
        <v>36.45</v>
      </c>
      <c r="M332" t="n">
        <v>10</v>
      </c>
      <c r="N332" t="n">
        <v>2150.55</v>
      </c>
      <c r="O332" t="n">
        <v>860.22</v>
      </c>
      <c r="P332" t="n">
        <v>1290.33</v>
      </c>
      <c r="Q332" t="n">
        <v>60</v>
      </c>
      <c r="R332" t="inlineStr">
        <is>
          <t>Cash</t>
        </is>
      </c>
      <c r="S332" t="inlineStr">
        <is>
          <t>New</t>
        </is>
      </c>
    </row>
    <row r="333">
      <c r="A333" t="inlineStr">
        <is>
          <t>T100333</t>
        </is>
      </c>
      <c r="B333" s="10" t="n">
        <v>45323</v>
      </c>
      <c r="C333" t="inlineStr">
        <is>
          <t>S003</t>
        </is>
      </c>
      <c r="D333" t="inlineStr">
        <is>
          <t>Coral Gables</t>
        </is>
      </c>
      <c r="E333" t="inlineStr">
        <is>
          <t>Gabriel Samra</t>
        </is>
      </c>
      <c r="F333" t="inlineStr">
        <is>
          <t>GS001</t>
        </is>
      </c>
      <c r="G333" t="inlineStr">
        <is>
          <t>Keratin Treatment</t>
        </is>
      </c>
      <c r="H333" t="inlineStr">
        <is>
          <t>Hair Treatment</t>
        </is>
      </c>
      <c r="I333" t="inlineStr">
        <is>
          <t>Lucas</t>
        </is>
      </c>
      <c r="J333" t="n">
        <v>74</v>
      </c>
      <c r="K333" t="n">
        <v>34.59</v>
      </c>
      <c r="L333" t="n">
        <v>85.48</v>
      </c>
      <c r="M333" t="n">
        <v>0</v>
      </c>
      <c r="N333" t="n">
        <v>6325.52</v>
      </c>
      <c r="O333" t="n">
        <v>2559.66</v>
      </c>
      <c r="P333" t="n">
        <v>3765.86</v>
      </c>
      <c r="Q333" t="n">
        <v>59.53</v>
      </c>
      <c r="R333" t="inlineStr">
        <is>
          <t>Apple Pay</t>
        </is>
      </c>
      <c r="S333" t="inlineStr">
        <is>
          <t>New</t>
        </is>
      </c>
    </row>
    <row r="334">
      <c r="A334" t="inlineStr">
        <is>
          <t>T100334</t>
        </is>
      </c>
      <c r="B334" s="10" t="n">
        <v>45352</v>
      </c>
      <c r="C334" t="inlineStr">
        <is>
          <t>S003</t>
        </is>
      </c>
      <c r="D334" t="inlineStr">
        <is>
          <t>Coral Gables</t>
        </is>
      </c>
      <c r="E334" t="inlineStr">
        <is>
          <t>Gabriel Samra</t>
        </is>
      </c>
      <c r="F334" t="inlineStr">
        <is>
          <t>GS001</t>
        </is>
      </c>
      <c r="G334" t="inlineStr">
        <is>
          <t>Keratin Treatment</t>
        </is>
      </c>
      <c r="H334" t="inlineStr">
        <is>
          <t>Hair Treatment</t>
        </is>
      </c>
      <c r="I334" t="inlineStr">
        <is>
          <t>Emma</t>
        </is>
      </c>
      <c r="J334" t="n">
        <v>80</v>
      </c>
      <c r="K334" t="n">
        <v>14.22</v>
      </c>
      <c r="L334" t="n">
        <v>40.11</v>
      </c>
      <c r="M334" t="n">
        <v>0</v>
      </c>
      <c r="N334" t="n">
        <v>3208.8</v>
      </c>
      <c r="O334" t="n">
        <v>1137.6</v>
      </c>
      <c r="P334" t="n">
        <v>2071.2</v>
      </c>
      <c r="Q334" t="n">
        <v>64.55</v>
      </c>
      <c r="R334" t="inlineStr">
        <is>
          <t>Credit Card</t>
        </is>
      </c>
      <c r="S334" t="inlineStr">
        <is>
          <t>New</t>
        </is>
      </c>
    </row>
    <row r="335">
      <c r="A335" t="inlineStr">
        <is>
          <t>T100335</t>
        </is>
      </c>
      <c r="B335" s="10" t="n">
        <v>45383</v>
      </c>
      <c r="C335" t="inlineStr">
        <is>
          <t>S003</t>
        </is>
      </c>
      <c r="D335" t="inlineStr">
        <is>
          <t>Coral Gables</t>
        </is>
      </c>
      <c r="E335" t="inlineStr">
        <is>
          <t>Gabriel Samra</t>
        </is>
      </c>
      <c r="F335" t="inlineStr">
        <is>
          <t>GS001</t>
        </is>
      </c>
      <c r="G335" t="inlineStr">
        <is>
          <t>Keratin Treatment</t>
        </is>
      </c>
      <c r="H335" t="inlineStr">
        <is>
          <t>Hair Treatment</t>
        </is>
      </c>
      <c r="I335" t="inlineStr">
        <is>
          <t>Daniel</t>
        </is>
      </c>
      <c r="J335" t="n">
        <v>79</v>
      </c>
      <c r="K335" t="n">
        <v>17.7</v>
      </c>
      <c r="L335" t="n">
        <v>41.85</v>
      </c>
      <c r="M335" t="n">
        <v>0</v>
      </c>
      <c r="N335" t="n">
        <v>3306.15</v>
      </c>
      <c r="O335" t="n">
        <v>1398.3</v>
      </c>
      <c r="P335" t="n">
        <v>1907.85</v>
      </c>
      <c r="Q335" t="n">
        <v>57.71</v>
      </c>
      <c r="R335" t="inlineStr">
        <is>
          <t>Cash</t>
        </is>
      </c>
      <c r="S335" t="inlineStr">
        <is>
          <t>New</t>
        </is>
      </c>
    </row>
    <row r="336">
      <c r="A336" t="inlineStr">
        <is>
          <t>T100336</t>
        </is>
      </c>
      <c r="B336" s="10" t="n">
        <v>45413</v>
      </c>
      <c r="C336" t="inlineStr">
        <is>
          <t>S003</t>
        </is>
      </c>
      <c r="D336" t="inlineStr">
        <is>
          <t>Coral Gables</t>
        </is>
      </c>
      <c r="E336" t="inlineStr">
        <is>
          <t>Gabriel Samra</t>
        </is>
      </c>
      <c r="F336" t="inlineStr">
        <is>
          <t>GS001</t>
        </is>
      </c>
      <c r="G336" t="inlineStr">
        <is>
          <t>Keratin Treatment</t>
        </is>
      </c>
      <c r="H336" t="inlineStr">
        <is>
          <t>Hair Treatment</t>
        </is>
      </c>
      <c r="I336" t="inlineStr">
        <is>
          <t>Olivia</t>
        </is>
      </c>
      <c r="J336" t="n">
        <v>72</v>
      </c>
      <c r="K336" t="n">
        <v>29.37</v>
      </c>
      <c r="L336" t="n">
        <v>68.40000000000001</v>
      </c>
      <c r="M336" t="n">
        <v>0</v>
      </c>
      <c r="N336" t="n">
        <v>4924.8</v>
      </c>
      <c r="O336" t="n">
        <v>2114.64</v>
      </c>
      <c r="P336" t="n">
        <v>2810.16</v>
      </c>
      <c r="Q336" t="n">
        <v>57.06</v>
      </c>
      <c r="R336" t="inlineStr">
        <is>
          <t>Credit Card</t>
        </is>
      </c>
      <c r="S336" t="inlineStr">
        <is>
          <t>New</t>
        </is>
      </c>
    </row>
    <row r="337">
      <c r="A337" t="inlineStr">
        <is>
          <t>T100337</t>
        </is>
      </c>
      <c r="B337" s="10" t="n">
        <v>45444</v>
      </c>
      <c r="C337" t="inlineStr">
        <is>
          <t>S003</t>
        </is>
      </c>
      <c r="D337" t="inlineStr">
        <is>
          <t>Coral Gables</t>
        </is>
      </c>
      <c r="E337" t="inlineStr">
        <is>
          <t>Gabriel Samra</t>
        </is>
      </c>
      <c r="F337" t="inlineStr">
        <is>
          <t>GS001</t>
        </is>
      </c>
      <c r="G337" t="inlineStr">
        <is>
          <t>Keratin Treatment</t>
        </is>
      </c>
      <c r="H337" t="inlineStr">
        <is>
          <t>Hair Treatment</t>
        </is>
      </c>
      <c r="I337" t="inlineStr">
        <is>
          <t>Olivia</t>
        </is>
      </c>
      <c r="J337" t="n">
        <v>116</v>
      </c>
      <c r="K337" t="n">
        <v>28.23</v>
      </c>
      <c r="L337" t="n">
        <v>77.92</v>
      </c>
      <c r="M337" t="n">
        <v>0</v>
      </c>
      <c r="N337" t="n">
        <v>9038.719999999999</v>
      </c>
      <c r="O337" t="n">
        <v>3274.68</v>
      </c>
      <c r="P337" t="n">
        <v>5764.04</v>
      </c>
      <c r="Q337" t="n">
        <v>63.77</v>
      </c>
      <c r="R337" t="inlineStr">
        <is>
          <t>Apple Pay</t>
        </is>
      </c>
      <c r="S337" t="inlineStr">
        <is>
          <t>Returning</t>
        </is>
      </c>
    </row>
    <row r="338">
      <c r="A338" t="inlineStr">
        <is>
          <t>T100338</t>
        </is>
      </c>
      <c r="B338" s="10" t="n">
        <v>45474</v>
      </c>
      <c r="C338" t="inlineStr">
        <is>
          <t>S003</t>
        </is>
      </c>
      <c r="D338" t="inlineStr">
        <is>
          <t>Coral Gables</t>
        </is>
      </c>
      <c r="E338" t="inlineStr">
        <is>
          <t>Gabriel Samra</t>
        </is>
      </c>
      <c r="F338" t="inlineStr">
        <is>
          <t>GS001</t>
        </is>
      </c>
      <c r="G338" t="inlineStr">
        <is>
          <t>Keratin Treatment</t>
        </is>
      </c>
      <c r="H338" t="inlineStr">
        <is>
          <t>Hair Treatment</t>
        </is>
      </c>
      <c r="I338" t="inlineStr">
        <is>
          <t>Emma</t>
        </is>
      </c>
      <c r="J338" t="n">
        <v>98</v>
      </c>
      <c r="K338" t="n">
        <v>26.27</v>
      </c>
      <c r="L338" t="n">
        <v>90.38</v>
      </c>
      <c r="M338" t="n">
        <v>0</v>
      </c>
      <c r="N338" t="n">
        <v>8857.24</v>
      </c>
      <c r="O338" t="n">
        <v>2574.46</v>
      </c>
      <c r="P338" t="n">
        <v>6282.78</v>
      </c>
      <c r="Q338" t="n">
        <v>70.93000000000001</v>
      </c>
      <c r="R338" t="inlineStr">
        <is>
          <t>Apple Pay</t>
        </is>
      </c>
      <c r="S338" t="inlineStr">
        <is>
          <t>New</t>
        </is>
      </c>
    </row>
    <row r="339">
      <c r="A339" t="inlineStr">
        <is>
          <t>T100339</t>
        </is>
      </c>
      <c r="B339" s="10" t="n">
        <v>45505</v>
      </c>
      <c r="C339" t="inlineStr">
        <is>
          <t>S003</t>
        </is>
      </c>
      <c r="D339" t="inlineStr">
        <is>
          <t>Coral Gables</t>
        </is>
      </c>
      <c r="E339" t="inlineStr">
        <is>
          <t>Gabriel Samra</t>
        </is>
      </c>
      <c r="F339" t="inlineStr">
        <is>
          <t>GS001</t>
        </is>
      </c>
      <c r="G339" t="inlineStr">
        <is>
          <t>Keratin Treatment</t>
        </is>
      </c>
      <c r="H339" t="inlineStr">
        <is>
          <t>Hair Treatment</t>
        </is>
      </c>
      <c r="I339" t="inlineStr">
        <is>
          <t>Daniel</t>
        </is>
      </c>
      <c r="J339" t="n">
        <v>102</v>
      </c>
      <c r="K339" t="n">
        <v>33.27</v>
      </c>
      <c r="L339" t="n">
        <v>68.81999999999999</v>
      </c>
      <c r="M339" t="n">
        <v>10</v>
      </c>
      <c r="N339" t="n">
        <v>7019.64</v>
      </c>
      <c r="O339" t="n">
        <v>3393.54</v>
      </c>
      <c r="P339" t="n">
        <v>3626.1</v>
      </c>
      <c r="Q339" t="n">
        <v>51.66</v>
      </c>
      <c r="R339" t="inlineStr">
        <is>
          <t>Apple Pay</t>
        </is>
      </c>
      <c r="S339" t="inlineStr">
        <is>
          <t>New</t>
        </is>
      </c>
    </row>
    <row r="340">
      <c r="A340" t="inlineStr">
        <is>
          <t>T100340</t>
        </is>
      </c>
      <c r="B340" s="10" t="n">
        <v>45536</v>
      </c>
      <c r="C340" t="inlineStr">
        <is>
          <t>S003</t>
        </is>
      </c>
      <c r="D340" t="inlineStr">
        <is>
          <t>Coral Gables</t>
        </is>
      </c>
      <c r="E340" t="inlineStr">
        <is>
          <t>Gabriel Samra</t>
        </is>
      </c>
      <c r="F340" t="inlineStr">
        <is>
          <t>GS001</t>
        </is>
      </c>
      <c r="G340" t="inlineStr">
        <is>
          <t>Keratin Treatment</t>
        </is>
      </c>
      <c r="H340" t="inlineStr">
        <is>
          <t>Hair Treatment</t>
        </is>
      </c>
      <c r="I340" t="inlineStr">
        <is>
          <t>Sophia</t>
        </is>
      </c>
      <c r="J340" t="n">
        <v>223</v>
      </c>
      <c r="K340" t="n">
        <v>17.16</v>
      </c>
      <c r="L340" t="n">
        <v>45.51</v>
      </c>
      <c r="M340" t="n">
        <v>0</v>
      </c>
      <c r="N340" t="n">
        <v>10148.73</v>
      </c>
      <c r="O340" t="n">
        <v>3826.68</v>
      </c>
      <c r="P340" t="n">
        <v>6322.05</v>
      </c>
      <c r="Q340" t="n">
        <v>62.29</v>
      </c>
      <c r="R340" t="inlineStr">
        <is>
          <t>Apple Pay</t>
        </is>
      </c>
      <c r="S340" t="inlineStr">
        <is>
          <t>New</t>
        </is>
      </c>
    </row>
    <row r="341">
      <c r="A341" t="inlineStr">
        <is>
          <t>T100341</t>
        </is>
      </c>
      <c r="B341" s="10" t="n">
        <v>45566</v>
      </c>
      <c r="C341" t="inlineStr">
        <is>
          <t>S003</t>
        </is>
      </c>
      <c r="D341" t="inlineStr">
        <is>
          <t>Coral Gables</t>
        </is>
      </c>
      <c r="E341" t="inlineStr">
        <is>
          <t>Gabriel Samra</t>
        </is>
      </c>
      <c r="F341" t="inlineStr">
        <is>
          <t>GS001</t>
        </is>
      </c>
      <c r="G341" t="inlineStr">
        <is>
          <t>Keratin Treatment</t>
        </is>
      </c>
      <c r="H341" t="inlineStr">
        <is>
          <t>Hair Treatment</t>
        </is>
      </c>
      <c r="I341" t="inlineStr">
        <is>
          <t>Daniel</t>
        </is>
      </c>
      <c r="J341" t="n">
        <v>90</v>
      </c>
      <c r="K341" t="n">
        <v>22.4</v>
      </c>
      <c r="L341" t="n">
        <v>60.52</v>
      </c>
      <c r="M341" t="n">
        <v>0</v>
      </c>
      <c r="N341" t="n">
        <v>5446.8</v>
      </c>
      <c r="O341" t="n">
        <v>2016</v>
      </c>
      <c r="P341" t="n">
        <v>3430.8</v>
      </c>
      <c r="Q341" t="n">
        <v>62.99</v>
      </c>
      <c r="R341" t="inlineStr">
        <is>
          <t>Cash</t>
        </is>
      </c>
      <c r="S341" t="inlineStr">
        <is>
          <t>Returning</t>
        </is>
      </c>
    </row>
    <row r="342">
      <c r="A342" t="inlineStr">
        <is>
          <t>T100342</t>
        </is>
      </c>
      <c r="B342" s="10" t="n">
        <v>45597</v>
      </c>
      <c r="C342" t="inlineStr">
        <is>
          <t>S003</t>
        </is>
      </c>
      <c r="D342" t="inlineStr">
        <is>
          <t>Coral Gables</t>
        </is>
      </c>
      <c r="E342" t="inlineStr">
        <is>
          <t>Gabriel Samra</t>
        </is>
      </c>
      <c r="F342" t="inlineStr">
        <is>
          <t>GS001</t>
        </is>
      </c>
      <c r="G342" t="inlineStr">
        <is>
          <t>Keratin Treatment</t>
        </is>
      </c>
      <c r="H342" t="inlineStr">
        <is>
          <t>Hair Treatment</t>
        </is>
      </c>
      <c r="I342" t="inlineStr">
        <is>
          <t>Daniel</t>
        </is>
      </c>
      <c r="J342" t="n">
        <v>137</v>
      </c>
      <c r="K342" t="n">
        <v>28.62</v>
      </c>
      <c r="L342" t="n">
        <v>69.84999999999999</v>
      </c>
      <c r="M342" t="n">
        <v>0</v>
      </c>
      <c r="N342" t="n">
        <v>9569.450000000001</v>
      </c>
      <c r="O342" t="n">
        <v>3920.94</v>
      </c>
      <c r="P342" t="n">
        <v>5648.51</v>
      </c>
      <c r="Q342" t="n">
        <v>59.03</v>
      </c>
      <c r="R342" t="inlineStr">
        <is>
          <t>Cash</t>
        </is>
      </c>
      <c r="S342" t="inlineStr">
        <is>
          <t>New</t>
        </is>
      </c>
    </row>
    <row r="343">
      <c r="A343" t="inlineStr">
        <is>
          <t>T100343</t>
        </is>
      </c>
      <c r="B343" s="10" t="n">
        <v>45627</v>
      </c>
      <c r="C343" t="inlineStr">
        <is>
          <t>S003</t>
        </is>
      </c>
      <c r="D343" t="inlineStr">
        <is>
          <t>Coral Gables</t>
        </is>
      </c>
      <c r="E343" t="inlineStr">
        <is>
          <t>Gabriel Samra</t>
        </is>
      </c>
      <c r="F343" t="inlineStr">
        <is>
          <t>GS001</t>
        </is>
      </c>
      <c r="G343" t="inlineStr">
        <is>
          <t>Keratin Treatment</t>
        </is>
      </c>
      <c r="H343" t="inlineStr">
        <is>
          <t>Hair Treatment</t>
        </is>
      </c>
      <c r="I343" t="inlineStr">
        <is>
          <t>Emma</t>
        </is>
      </c>
      <c r="J343" t="n">
        <v>136</v>
      </c>
      <c r="K343" t="n">
        <v>22.3</v>
      </c>
      <c r="L343" t="n">
        <v>51.92</v>
      </c>
      <c r="M343" t="n">
        <v>0</v>
      </c>
      <c r="N343" t="n">
        <v>7061.12</v>
      </c>
      <c r="O343" t="n">
        <v>3032.8</v>
      </c>
      <c r="P343" t="n">
        <v>4028.32</v>
      </c>
      <c r="Q343" t="n">
        <v>57.05</v>
      </c>
      <c r="R343" t="inlineStr">
        <is>
          <t>Credit Card</t>
        </is>
      </c>
      <c r="S343" t="inlineStr">
        <is>
          <t>Returning</t>
        </is>
      </c>
    </row>
    <row r="344">
      <c r="A344" t="inlineStr">
        <is>
          <t>T100344</t>
        </is>
      </c>
      <c r="B344" s="10" t="n">
        <v>45658</v>
      </c>
      <c r="C344" t="inlineStr">
        <is>
          <t>S003</t>
        </is>
      </c>
      <c r="D344" t="inlineStr">
        <is>
          <t>Coral Gables</t>
        </is>
      </c>
      <c r="E344" t="inlineStr">
        <is>
          <t>Gabriel Samra</t>
        </is>
      </c>
      <c r="F344" t="inlineStr">
        <is>
          <t>GS001</t>
        </is>
      </c>
      <c r="G344" t="inlineStr">
        <is>
          <t>Keratin Treatment</t>
        </is>
      </c>
      <c r="H344" t="inlineStr">
        <is>
          <t>Hair Treatment</t>
        </is>
      </c>
      <c r="I344" t="inlineStr">
        <is>
          <t>Emma</t>
        </is>
      </c>
      <c r="J344" t="n">
        <v>118</v>
      </c>
      <c r="K344" t="n">
        <v>24.3</v>
      </c>
      <c r="L344" t="n">
        <v>55.4</v>
      </c>
      <c r="M344" t="n">
        <v>5</v>
      </c>
      <c r="N344" t="n">
        <v>6537.2</v>
      </c>
      <c r="O344" t="n">
        <v>2867.4</v>
      </c>
      <c r="P344" t="n">
        <v>3669.8</v>
      </c>
      <c r="Q344" t="n">
        <v>56.14</v>
      </c>
      <c r="R344" t="inlineStr">
        <is>
          <t>Cash</t>
        </is>
      </c>
      <c r="S344" t="inlineStr">
        <is>
          <t>Returning</t>
        </is>
      </c>
    </row>
    <row r="345">
      <c r="A345" t="inlineStr">
        <is>
          <t>T100345</t>
        </is>
      </c>
      <c r="B345" s="10" t="n">
        <v>45689</v>
      </c>
      <c r="C345" t="inlineStr">
        <is>
          <t>S003</t>
        </is>
      </c>
      <c r="D345" t="inlineStr">
        <is>
          <t>Coral Gables</t>
        </is>
      </c>
      <c r="E345" t="inlineStr">
        <is>
          <t>Gabriel Samra</t>
        </is>
      </c>
      <c r="F345" t="inlineStr">
        <is>
          <t>GS001</t>
        </is>
      </c>
      <c r="G345" t="inlineStr">
        <is>
          <t>Keratin Treatment</t>
        </is>
      </c>
      <c r="H345" t="inlineStr">
        <is>
          <t>Hair Treatment</t>
        </is>
      </c>
      <c r="I345" t="inlineStr">
        <is>
          <t>Olivia</t>
        </is>
      </c>
      <c r="J345" t="n">
        <v>121</v>
      </c>
      <c r="K345" t="n">
        <v>15.16</v>
      </c>
      <c r="L345" t="n">
        <v>37.05</v>
      </c>
      <c r="M345" t="n">
        <v>10</v>
      </c>
      <c r="N345" t="n">
        <v>4483.05</v>
      </c>
      <c r="O345" t="n">
        <v>1834.36</v>
      </c>
      <c r="P345" t="n">
        <v>2648.69</v>
      </c>
      <c r="Q345" t="n">
        <v>59.08</v>
      </c>
      <c r="R345" t="inlineStr">
        <is>
          <t>Cash</t>
        </is>
      </c>
      <c r="S345" t="inlineStr">
        <is>
          <t>Returning</t>
        </is>
      </c>
    </row>
    <row r="346">
      <c r="A346" t="inlineStr">
        <is>
          <t>T100346</t>
        </is>
      </c>
      <c r="B346" s="10" t="n">
        <v>45717</v>
      </c>
      <c r="C346" t="inlineStr">
        <is>
          <t>S003</t>
        </is>
      </c>
      <c r="D346" t="inlineStr">
        <is>
          <t>Coral Gables</t>
        </is>
      </c>
      <c r="E346" t="inlineStr">
        <is>
          <t>Gabriel Samra</t>
        </is>
      </c>
      <c r="F346" t="inlineStr">
        <is>
          <t>GS001</t>
        </is>
      </c>
      <c r="G346" t="inlineStr">
        <is>
          <t>Keratin Treatment</t>
        </is>
      </c>
      <c r="H346" t="inlineStr">
        <is>
          <t>Hair Treatment</t>
        </is>
      </c>
      <c r="I346" t="inlineStr">
        <is>
          <t>Olivia</t>
        </is>
      </c>
      <c r="J346" t="n">
        <v>294</v>
      </c>
      <c r="K346" t="n">
        <v>20.22</v>
      </c>
      <c r="L346" t="n">
        <v>54.09</v>
      </c>
      <c r="M346" t="n">
        <v>10</v>
      </c>
      <c r="N346" t="n">
        <v>15902.46</v>
      </c>
      <c r="O346" t="n">
        <v>5944.68</v>
      </c>
      <c r="P346" t="n">
        <v>9957.780000000001</v>
      </c>
      <c r="Q346" t="n">
        <v>62.62</v>
      </c>
      <c r="R346" t="inlineStr">
        <is>
          <t>Credit Card</t>
        </is>
      </c>
      <c r="S346" t="inlineStr">
        <is>
          <t>Returning</t>
        </is>
      </c>
    </row>
    <row r="347">
      <c r="A347" t="inlineStr">
        <is>
          <t>T100347</t>
        </is>
      </c>
      <c r="B347" s="10" t="n">
        <v>45748</v>
      </c>
      <c r="C347" t="inlineStr">
        <is>
          <t>S003</t>
        </is>
      </c>
      <c r="D347" t="inlineStr">
        <is>
          <t>Coral Gables</t>
        </is>
      </c>
      <c r="E347" t="inlineStr">
        <is>
          <t>Gabriel Samra</t>
        </is>
      </c>
      <c r="F347" t="inlineStr">
        <is>
          <t>GS001</t>
        </is>
      </c>
      <c r="G347" t="inlineStr">
        <is>
          <t>Keratin Treatment</t>
        </is>
      </c>
      <c r="H347" t="inlineStr">
        <is>
          <t>Hair Treatment</t>
        </is>
      </c>
      <c r="I347" t="inlineStr">
        <is>
          <t>Olivia</t>
        </is>
      </c>
      <c r="J347" t="n">
        <v>164</v>
      </c>
      <c r="K347" t="n">
        <v>19.91</v>
      </c>
      <c r="L347" t="n">
        <v>52.58</v>
      </c>
      <c r="M347" t="n">
        <v>10</v>
      </c>
      <c r="N347" t="n">
        <v>8623.120000000001</v>
      </c>
      <c r="O347" t="n">
        <v>3265.24</v>
      </c>
      <c r="P347" t="n">
        <v>5357.88</v>
      </c>
      <c r="Q347" t="n">
        <v>62.13</v>
      </c>
      <c r="R347" t="inlineStr">
        <is>
          <t>Cash</t>
        </is>
      </c>
      <c r="S347" t="inlineStr">
        <is>
          <t>Returning</t>
        </is>
      </c>
    </row>
    <row r="348">
      <c r="A348" t="inlineStr">
        <is>
          <t>T100348</t>
        </is>
      </c>
      <c r="B348" s="10" t="n">
        <v>45778</v>
      </c>
      <c r="C348" t="inlineStr">
        <is>
          <t>S003</t>
        </is>
      </c>
      <c r="D348" t="inlineStr">
        <is>
          <t>Coral Gables</t>
        </is>
      </c>
      <c r="E348" t="inlineStr">
        <is>
          <t>Gabriel Samra</t>
        </is>
      </c>
      <c r="F348" t="inlineStr">
        <is>
          <t>GS001</t>
        </is>
      </c>
      <c r="G348" t="inlineStr">
        <is>
          <t>Keratin Treatment</t>
        </is>
      </c>
      <c r="H348" t="inlineStr">
        <is>
          <t>Hair Treatment</t>
        </is>
      </c>
      <c r="I348" t="inlineStr">
        <is>
          <t>Daniel</t>
        </is>
      </c>
      <c r="J348" t="n">
        <v>136</v>
      </c>
      <c r="K348" t="n">
        <v>27.49</v>
      </c>
      <c r="L348" t="n">
        <v>61.3</v>
      </c>
      <c r="M348" t="n">
        <v>0</v>
      </c>
      <c r="N348" t="n">
        <v>8336.799999999999</v>
      </c>
      <c r="O348" t="n">
        <v>3738.64</v>
      </c>
      <c r="P348" t="n">
        <v>4598.16</v>
      </c>
      <c r="Q348" t="n">
        <v>55.15</v>
      </c>
      <c r="R348" t="inlineStr">
        <is>
          <t>Apple Pay</t>
        </is>
      </c>
      <c r="S348" t="inlineStr">
        <is>
          <t>New</t>
        </is>
      </c>
    </row>
    <row r="349">
      <c r="A349" t="inlineStr">
        <is>
          <t>T100349</t>
        </is>
      </c>
      <c r="B349" s="10" t="n">
        <v>45809</v>
      </c>
      <c r="C349" t="inlineStr">
        <is>
          <t>S003</t>
        </is>
      </c>
      <c r="D349" t="inlineStr">
        <is>
          <t>Coral Gables</t>
        </is>
      </c>
      <c r="E349" t="inlineStr">
        <is>
          <t>Gabriel Samra</t>
        </is>
      </c>
      <c r="F349" t="inlineStr">
        <is>
          <t>GS001</t>
        </is>
      </c>
      <c r="G349" t="inlineStr">
        <is>
          <t>Keratin Treatment</t>
        </is>
      </c>
      <c r="H349" t="inlineStr">
        <is>
          <t>Hair Treatment</t>
        </is>
      </c>
      <c r="I349" t="inlineStr">
        <is>
          <t>Olivia</t>
        </is>
      </c>
      <c r="J349" t="n">
        <v>163</v>
      </c>
      <c r="K349" t="n">
        <v>30.9</v>
      </c>
      <c r="L349" t="n">
        <v>62.48</v>
      </c>
      <c r="M349" t="n">
        <v>0</v>
      </c>
      <c r="N349" t="n">
        <v>10184.24</v>
      </c>
      <c r="O349" t="n">
        <v>5036.7</v>
      </c>
      <c r="P349" t="n">
        <v>5147.54</v>
      </c>
      <c r="Q349" t="n">
        <v>50.54</v>
      </c>
      <c r="R349" t="inlineStr">
        <is>
          <t>Cash</t>
        </is>
      </c>
      <c r="S349" t="inlineStr">
        <is>
          <t>New</t>
        </is>
      </c>
    </row>
    <row r="350">
      <c r="A350" t="inlineStr">
        <is>
          <t>T100350</t>
        </is>
      </c>
      <c r="B350" s="10" t="n">
        <v>45292</v>
      </c>
      <c r="C350" t="inlineStr">
        <is>
          <t>S003</t>
        </is>
      </c>
      <c r="D350" t="inlineStr">
        <is>
          <t>Coral Gables</t>
        </is>
      </c>
      <c r="E350" t="inlineStr">
        <is>
          <t>Gabriel Samra</t>
        </is>
      </c>
      <c r="F350" t="inlineStr">
        <is>
          <t>GS002</t>
        </is>
      </c>
      <c r="G350" t="inlineStr">
        <is>
          <t>Hydration Shampoo</t>
        </is>
      </c>
      <c r="H350" t="inlineStr">
        <is>
          <t>Hair Care</t>
        </is>
      </c>
      <c r="I350" t="inlineStr">
        <is>
          <t>Emma</t>
        </is>
      </c>
      <c r="J350" t="n">
        <v>78</v>
      </c>
      <c r="K350" t="n">
        <v>24.88</v>
      </c>
      <c r="L350" t="n">
        <v>63.48</v>
      </c>
      <c r="M350" t="n">
        <v>0</v>
      </c>
      <c r="N350" t="n">
        <v>4951.44</v>
      </c>
      <c r="O350" t="n">
        <v>1940.64</v>
      </c>
      <c r="P350" t="n">
        <v>3010.8</v>
      </c>
      <c r="Q350" t="n">
        <v>60.81</v>
      </c>
      <c r="R350" t="inlineStr">
        <is>
          <t>Cash</t>
        </is>
      </c>
      <c r="S350" t="inlineStr">
        <is>
          <t>Returning</t>
        </is>
      </c>
    </row>
    <row r="351">
      <c r="A351" t="inlineStr">
        <is>
          <t>T100351</t>
        </is>
      </c>
      <c r="B351" s="10" t="n">
        <v>45323</v>
      </c>
      <c r="C351" t="inlineStr">
        <is>
          <t>S003</t>
        </is>
      </c>
      <c r="D351" t="inlineStr">
        <is>
          <t>Coral Gables</t>
        </is>
      </c>
      <c r="E351" t="inlineStr">
        <is>
          <t>Gabriel Samra</t>
        </is>
      </c>
      <c r="F351" t="inlineStr">
        <is>
          <t>GS002</t>
        </is>
      </c>
      <c r="G351" t="inlineStr">
        <is>
          <t>Hydration Shampoo</t>
        </is>
      </c>
      <c r="H351" t="inlineStr">
        <is>
          <t>Hair Care</t>
        </is>
      </c>
      <c r="I351" t="inlineStr">
        <is>
          <t>Sophia</t>
        </is>
      </c>
      <c r="J351" t="n">
        <v>86</v>
      </c>
      <c r="K351" t="n">
        <v>25.51</v>
      </c>
      <c r="L351" t="n">
        <v>51.44</v>
      </c>
      <c r="M351" t="n">
        <v>0</v>
      </c>
      <c r="N351" t="n">
        <v>4423.84</v>
      </c>
      <c r="O351" t="n">
        <v>2193.86</v>
      </c>
      <c r="P351" t="n">
        <v>2229.98</v>
      </c>
      <c r="Q351" t="n">
        <v>50.41</v>
      </c>
      <c r="R351" t="inlineStr">
        <is>
          <t>Cash</t>
        </is>
      </c>
      <c r="S351" t="inlineStr">
        <is>
          <t>New</t>
        </is>
      </c>
    </row>
    <row r="352">
      <c r="A352" t="inlineStr">
        <is>
          <t>T100352</t>
        </is>
      </c>
      <c r="B352" s="10" t="n">
        <v>45352</v>
      </c>
      <c r="C352" t="inlineStr">
        <is>
          <t>S003</t>
        </is>
      </c>
      <c r="D352" t="inlineStr">
        <is>
          <t>Coral Gables</t>
        </is>
      </c>
      <c r="E352" t="inlineStr">
        <is>
          <t>Gabriel Samra</t>
        </is>
      </c>
      <c r="F352" t="inlineStr">
        <is>
          <t>GS002</t>
        </is>
      </c>
      <c r="G352" t="inlineStr">
        <is>
          <t>Hydration Shampoo</t>
        </is>
      </c>
      <c r="H352" t="inlineStr">
        <is>
          <t>Hair Care</t>
        </is>
      </c>
      <c r="I352" t="inlineStr">
        <is>
          <t>Emma</t>
        </is>
      </c>
      <c r="J352" t="n">
        <v>83</v>
      </c>
      <c r="K352" t="n">
        <v>22.99</v>
      </c>
      <c r="L352" t="n">
        <v>53.77</v>
      </c>
      <c r="M352" t="n">
        <v>10</v>
      </c>
      <c r="N352" t="n">
        <v>4462.91</v>
      </c>
      <c r="O352" t="n">
        <v>1908.17</v>
      </c>
      <c r="P352" t="n">
        <v>2554.74</v>
      </c>
      <c r="Q352" t="n">
        <v>57.24</v>
      </c>
      <c r="R352" t="inlineStr">
        <is>
          <t>Cash</t>
        </is>
      </c>
      <c r="S352" t="inlineStr">
        <is>
          <t>New</t>
        </is>
      </c>
    </row>
    <row r="353">
      <c r="A353" t="inlineStr">
        <is>
          <t>T100353</t>
        </is>
      </c>
      <c r="B353" s="10" t="n">
        <v>45383</v>
      </c>
      <c r="C353" t="inlineStr">
        <is>
          <t>S003</t>
        </is>
      </c>
      <c r="D353" t="inlineStr">
        <is>
          <t>Coral Gables</t>
        </is>
      </c>
      <c r="E353" t="inlineStr">
        <is>
          <t>Gabriel Samra</t>
        </is>
      </c>
      <c r="F353" t="inlineStr">
        <is>
          <t>GS002</t>
        </is>
      </c>
      <c r="G353" t="inlineStr">
        <is>
          <t>Hydration Shampoo</t>
        </is>
      </c>
      <c r="H353" t="inlineStr">
        <is>
          <t>Hair Care</t>
        </is>
      </c>
      <c r="I353" t="inlineStr">
        <is>
          <t>Emma</t>
        </is>
      </c>
      <c r="J353" t="n">
        <v>99</v>
      </c>
      <c r="K353" t="n">
        <v>31.15</v>
      </c>
      <c r="L353" t="n">
        <v>87.36</v>
      </c>
      <c r="M353" t="n">
        <v>0</v>
      </c>
      <c r="N353" t="n">
        <v>8648.639999999999</v>
      </c>
      <c r="O353" t="n">
        <v>3083.85</v>
      </c>
      <c r="P353" t="n">
        <v>5564.79</v>
      </c>
      <c r="Q353" t="n">
        <v>64.34</v>
      </c>
      <c r="R353" t="inlineStr">
        <is>
          <t>Credit Card</t>
        </is>
      </c>
      <c r="S353" t="inlineStr">
        <is>
          <t>New</t>
        </is>
      </c>
    </row>
    <row r="354">
      <c r="A354" t="inlineStr">
        <is>
          <t>T100354</t>
        </is>
      </c>
      <c r="B354" s="10" t="n">
        <v>45413</v>
      </c>
      <c r="C354" t="inlineStr">
        <is>
          <t>S003</t>
        </is>
      </c>
      <c r="D354" t="inlineStr">
        <is>
          <t>Coral Gables</t>
        </is>
      </c>
      <c r="E354" t="inlineStr">
        <is>
          <t>Gabriel Samra</t>
        </is>
      </c>
      <c r="F354" t="inlineStr">
        <is>
          <t>GS002</t>
        </is>
      </c>
      <c r="G354" t="inlineStr">
        <is>
          <t>Hydration Shampoo</t>
        </is>
      </c>
      <c r="H354" t="inlineStr">
        <is>
          <t>Hair Care</t>
        </is>
      </c>
      <c r="I354" t="inlineStr">
        <is>
          <t>Sophia</t>
        </is>
      </c>
      <c r="J354" t="n">
        <v>110</v>
      </c>
      <c r="K354" t="n">
        <v>25.92</v>
      </c>
      <c r="L354" t="n">
        <v>76.06999999999999</v>
      </c>
      <c r="M354" t="n">
        <v>0</v>
      </c>
      <c r="N354" t="n">
        <v>8367.700000000001</v>
      </c>
      <c r="O354" t="n">
        <v>2851.2</v>
      </c>
      <c r="P354" t="n">
        <v>5516.5</v>
      </c>
      <c r="Q354" t="n">
        <v>65.93000000000001</v>
      </c>
      <c r="R354" t="inlineStr">
        <is>
          <t>Cash</t>
        </is>
      </c>
      <c r="S354" t="inlineStr">
        <is>
          <t>Returning</t>
        </is>
      </c>
    </row>
    <row r="355">
      <c r="A355" t="inlineStr">
        <is>
          <t>T100355</t>
        </is>
      </c>
      <c r="B355" s="10" t="n">
        <v>45444</v>
      </c>
      <c r="C355" t="inlineStr">
        <is>
          <t>S003</t>
        </is>
      </c>
      <c r="D355" t="inlineStr">
        <is>
          <t>Coral Gables</t>
        </is>
      </c>
      <c r="E355" t="inlineStr">
        <is>
          <t>Gabriel Samra</t>
        </is>
      </c>
      <c r="F355" t="inlineStr">
        <is>
          <t>GS002</t>
        </is>
      </c>
      <c r="G355" t="inlineStr">
        <is>
          <t>Hydration Shampoo</t>
        </is>
      </c>
      <c r="H355" t="inlineStr">
        <is>
          <t>Hair Care</t>
        </is>
      </c>
      <c r="I355" t="inlineStr">
        <is>
          <t>Sophia</t>
        </is>
      </c>
      <c r="J355" t="n">
        <v>115</v>
      </c>
      <c r="K355" t="n">
        <v>16.68</v>
      </c>
      <c r="L355" t="n">
        <v>55.4</v>
      </c>
      <c r="M355" t="n">
        <v>5</v>
      </c>
      <c r="N355" t="n">
        <v>6371</v>
      </c>
      <c r="O355" t="n">
        <v>1918.2</v>
      </c>
      <c r="P355" t="n">
        <v>4452.8</v>
      </c>
      <c r="Q355" t="n">
        <v>69.89</v>
      </c>
      <c r="R355" t="inlineStr">
        <is>
          <t>Cash</t>
        </is>
      </c>
      <c r="S355" t="inlineStr">
        <is>
          <t>Returning</t>
        </is>
      </c>
    </row>
    <row r="356">
      <c r="A356" t="inlineStr">
        <is>
          <t>T100356</t>
        </is>
      </c>
      <c r="B356" s="10" t="n">
        <v>45474</v>
      </c>
      <c r="C356" t="inlineStr">
        <is>
          <t>S003</t>
        </is>
      </c>
      <c r="D356" t="inlineStr">
        <is>
          <t>Coral Gables</t>
        </is>
      </c>
      <c r="E356" t="inlineStr">
        <is>
          <t>Gabriel Samra</t>
        </is>
      </c>
      <c r="F356" t="inlineStr">
        <is>
          <t>GS002</t>
        </is>
      </c>
      <c r="G356" t="inlineStr">
        <is>
          <t>Hydration Shampoo</t>
        </is>
      </c>
      <c r="H356" t="inlineStr">
        <is>
          <t>Hair Care</t>
        </is>
      </c>
      <c r="I356" t="inlineStr">
        <is>
          <t>Daniel</t>
        </is>
      </c>
      <c r="J356" t="n">
        <v>125</v>
      </c>
      <c r="K356" t="n">
        <v>18.4</v>
      </c>
      <c r="L356" t="n">
        <v>50.59</v>
      </c>
      <c r="M356" t="n">
        <v>0</v>
      </c>
      <c r="N356" t="n">
        <v>6323.75</v>
      </c>
      <c r="O356" t="n">
        <v>2300</v>
      </c>
      <c r="P356" t="n">
        <v>4023.75</v>
      </c>
      <c r="Q356" t="n">
        <v>63.63</v>
      </c>
      <c r="R356" t="inlineStr">
        <is>
          <t>Cash</t>
        </is>
      </c>
      <c r="S356" t="inlineStr">
        <is>
          <t>New</t>
        </is>
      </c>
    </row>
    <row r="357">
      <c r="A357" t="inlineStr">
        <is>
          <t>T100357</t>
        </is>
      </c>
      <c r="B357" s="10" t="n">
        <v>45505</v>
      </c>
      <c r="C357" t="inlineStr">
        <is>
          <t>S003</t>
        </is>
      </c>
      <c r="D357" t="inlineStr">
        <is>
          <t>Coral Gables</t>
        </is>
      </c>
      <c r="E357" t="inlineStr">
        <is>
          <t>Gabriel Samra</t>
        </is>
      </c>
      <c r="F357" t="inlineStr">
        <is>
          <t>GS002</t>
        </is>
      </c>
      <c r="G357" t="inlineStr">
        <is>
          <t>Hydration Shampoo</t>
        </is>
      </c>
      <c r="H357" t="inlineStr">
        <is>
          <t>Hair Care</t>
        </is>
      </c>
      <c r="I357" t="inlineStr">
        <is>
          <t>Sophia</t>
        </is>
      </c>
      <c r="J357" t="n">
        <v>134</v>
      </c>
      <c r="K357" t="n">
        <v>34.29</v>
      </c>
      <c r="L357" t="n">
        <v>116.31</v>
      </c>
      <c r="M357" t="n">
        <v>0</v>
      </c>
      <c r="N357" t="n">
        <v>15585.54</v>
      </c>
      <c r="O357" t="n">
        <v>4594.86</v>
      </c>
      <c r="P357" t="n">
        <v>10990.68</v>
      </c>
      <c r="Q357" t="n">
        <v>70.52</v>
      </c>
      <c r="R357" t="inlineStr">
        <is>
          <t>Apple Pay</t>
        </is>
      </c>
      <c r="S357" t="inlineStr">
        <is>
          <t>Returning</t>
        </is>
      </c>
    </row>
    <row r="358">
      <c r="A358" t="inlineStr">
        <is>
          <t>T100358</t>
        </is>
      </c>
      <c r="B358" s="10" t="n">
        <v>45536</v>
      </c>
      <c r="C358" t="inlineStr">
        <is>
          <t>S003</t>
        </is>
      </c>
      <c r="D358" t="inlineStr">
        <is>
          <t>Coral Gables</t>
        </is>
      </c>
      <c r="E358" t="inlineStr">
        <is>
          <t>Gabriel Samra</t>
        </is>
      </c>
      <c r="F358" t="inlineStr">
        <is>
          <t>GS002</t>
        </is>
      </c>
      <c r="G358" t="inlineStr">
        <is>
          <t>Hydration Shampoo</t>
        </is>
      </c>
      <c r="H358" t="inlineStr">
        <is>
          <t>Hair Care</t>
        </is>
      </c>
      <c r="I358" t="inlineStr">
        <is>
          <t>Daniel</t>
        </is>
      </c>
      <c r="J358" t="n">
        <v>127</v>
      </c>
      <c r="K358" t="n">
        <v>28.38</v>
      </c>
      <c r="L358" t="n">
        <v>93.81</v>
      </c>
      <c r="M358" t="n">
        <v>0</v>
      </c>
      <c r="N358" t="n">
        <v>11913.87</v>
      </c>
      <c r="O358" t="n">
        <v>3604.26</v>
      </c>
      <c r="P358" t="n">
        <v>8309.610000000001</v>
      </c>
      <c r="Q358" t="n">
        <v>69.75</v>
      </c>
      <c r="R358" t="inlineStr">
        <is>
          <t>Cash</t>
        </is>
      </c>
      <c r="S358" t="inlineStr">
        <is>
          <t>New</t>
        </is>
      </c>
    </row>
    <row r="359">
      <c r="A359" t="inlineStr">
        <is>
          <t>T100359</t>
        </is>
      </c>
      <c r="B359" s="10" t="n">
        <v>45566</v>
      </c>
      <c r="C359" t="inlineStr">
        <is>
          <t>S003</t>
        </is>
      </c>
      <c r="D359" t="inlineStr">
        <is>
          <t>Coral Gables</t>
        </is>
      </c>
      <c r="E359" t="inlineStr">
        <is>
          <t>Gabriel Samra</t>
        </is>
      </c>
      <c r="F359" t="inlineStr">
        <is>
          <t>GS002</t>
        </is>
      </c>
      <c r="G359" t="inlineStr">
        <is>
          <t>Hydration Shampoo</t>
        </is>
      </c>
      <c r="H359" t="inlineStr">
        <is>
          <t>Hair Care</t>
        </is>
      </c>
      <c r="I359" t="inlineStr">
        <is>
          <t>Daniel</t>
        </is>
      </c>
      <c r="J359" t="n">
        <v>117</v>
      </c>
      <c r="K359" t="n">
        <v>19.45</v>
      </c>
      <c r="L359" t="n">
        <v>39.34</v>
      </c>
      <c r="M359" t="n">
        <v>10</v>
      </c>
      <c r="N359" t="n">
        <v>4602.78</v>
      </c>
      <c r="O359" t="n">
        <v>2275.65</v>
      </c>
      <c r="P359" t="n">
        <v>2327.13</v>
      </c>
      <c r="Q359" t="n">
        <v>50.56</v>
      </c>
      <c r="R359" t="inlineStr">
        <is>
          <t>Credit Card</t>
        </is>
      </c>
      <c r="S359" t="inlineStr">
        <is>
          <t>New</t>
        </is>
      </c>
    </row>
    <row r="360">
      <c r="A360" t="inlineStr">
        <is>
          <t>T100360</t>
        </is>
      </c>
      <c r="B360" s="10" t="n">
        <v>45597</v>
      </c>
      <c r="C360" t="inlineStr">
        <is>
          <t>S003</t>
        </is>
      </c>
      <c r="D360" t="inlineStr">
        <is>
          <t>Coral Gables</t>
        </is>
      </c>
      <c r="E360" t="inlineStr">
        <is>
          <t>Gabriel Samra</t>
        </is>
      </c>
      <c r="F360" t="inlineStr">
        <is>
          <t>GS002</t>
        </is>
      </c>
      <c r="G360" t="inlineStr">
        <is>
          <t>Hydration Shampoo</t>
        </is>
      </c>
      <c r="H360" t="inlineStr">
        <is>
          <t>Hair Care</t>
        </is>
      </c>
      <c r="I360" t="inlineStr">
        <is>
          <t>Emma</t>
        </is>
      </c>
      <c r="J360" t="n">
        <v>161</v>
      </c>
      <c r="K360" t="n">
        <v>22.1</v>
      </c>
      <c r="L360" t="n">
        <v>77.05</v>
      </c>
      <c r="M360" t="n">
        <v>0</v>
      </c>
      <c r="N360" t="n">
        <v>12405.05</v>
      </c>
      <c r="O360" t="n">
        <v>3558.1</v>
      </c>
      <c r="P360" t="n">
        <v>8846.950000000001</v>
      </c>
      <c r="Q360" t="n">
        <v>71.31999999999999</v>
      </c>
      <c r="R360" t="inlineStr">
        <is>
          <t>Apple Pay</t>
        </is>
      </c>
      <c r="S360" t="inlineStr">
        <is>
          <t>Returning</t>
        </is>
      </c>
    </row>
    <row r="361">
      <c r="A361" t="inlineStr">
        <is>
          <t>T100361</t>
        </is>
      </c>
      <c r="B361" s="10" t="n">
        <v>45627</v>
      </c>
      <c r="C361" t="inlineStr">
        <is>
          <t>S003</t>
        </is>
      </c>
      <c r="D361" t="inlineStr">
        <is>
          <t>Coral Gables</t>
        </is>
      </c>
      <c r="E361" t="inlineStr">
        <is>
          <t>Gabriel Samra</t>
        </is>
      </c>
      <c r="F361" t="inlineStr">
        <is>
          <t>GS002</t>
        </is>
      </c>
      <c r="G361" t="inlineStr">
        <is>
          <t>Hydration Shampoo</t>
        </is>
      </c>
      <c r="H361" t="inlineStr">
        <is>
          <t>Hair Care</t>
        </is>
      </c>
      <c r="I361" t="inlineStr">
        <is>
          <t>Emma</t>
        </is>
      </c>
      <c r="J361" t="n">
        <v>182</v>
      </c>
      <c r="K361" t="n">
        <v>28.4</v>
      </c>
      <c r="L361" t="n">
        <v>93.12</v>
      </c>
      <c r="M361" t="n">
        <v>10</v>
      </c>
      <c r="N361" t="n">
        <v>16947.84</v>
      </c>
      <c r="O361" t="n">
        <v>5168.8</v>
      </c>
      <c r="P361" t="n">
        <v>11779.04</v>
      </c>
      <c r="Q361" t="n">
        <v>69.5</v>
      </c>
      <c r="R361" t="inlineStr">
        <is>
          <t>Apple Pay</t>
        </is>
      </c>
      <c r="S361" t="inlineStr">
        <is>
          <t>New</t>
        </is>
      </c>
    </row>
    <row r="362">
      <c r="A362" t="inlineStr">
        <is>
          <t>T100362</t>
        </is>
      </c>
      <c r="B362" s="10" t="n">
        <v>45658</v>
      </c>
      <c r="C362" t="inlineStr">
        <is>
          <t>S003</t>
        </is>
      </c>
      <c r="D362" t="inlineStr">
        <is>
          <t>Coral Gables</t>
        </is>
      </c>
      <c r="E362" t="inlineStr">
        <is>
          <t>Gabriel Samra</t>
        </is>
      </c>
      <c r="F362" t="inlineStr">
        <is>
          <t>GS002</t>
        </is>
      </c>
      <c r="G362" t="inlineStr">
        <is>
          <t>Hydration Shampoo</t>
        </is>
      </c>
      <c r="H362" t="inlineStr">
        <is>
          <t>Hair Care</t>
        </is>
      </c>
      <c r="I362" t="inlineStr">
        <is>
          <t>Olivia</t>
        </is>
      </c>
      <c r="J362" t="n">
        <v>154</v>
      </c>
      <c r="K362" t="n">
        <v>29.1</v>
      </c>
      <c r="L362" t="n">
        <v>65.69</v>
      </c>
      <c r="M362" t="n">
        <v>5</v>
      </c>
      <c r="N362" t="n">
        <v>10116.26</v>
      </c>
      <c r="O362" t="n">
        <v>4481.4</v>
      </c>
      <c r="P362" t="n">
        <v>5634.86</v>
      </c>
      <c r="Q362" t="n">
        <v>55.7</v>
      </c>
      <c r="R362" t="inlineStr">
        <is>
          <t>Cash</t>
        </is>
      </c>
      <c r="S362" t="inlineStr">
        <is>
          <t>Returning</t>
        </is>
      </c>
    </row>
    <row r="363">
      <c r="A363" t="inlineStr">
        <is>
          <t>T100363</t>
        </is>
      </c>
      <c r="B363" s="10" t="n">
        <v>45689</v>
      </c>
      <c r="C363" t="inlineStr">
        <is>
          <t>S003</t>
        </is>
      </c>
      <c r="D363" t="inlineStr">
        <is>
          <t>Coral Gables</t>
        </is>
      </c>
      <c r="E363" t="inlineStr">
        <is>
          <t>Gabriel Samra</t>
        </is>
      </c>
      <c r="F363" t="inlineStr">
        <is>
          <t>GS002</t>
        </is>
      </c>
      <c r="G363" t="inlineStr">
        <is>
          <t>Hydration Shampoo</t>
        </is>
      </c>
      <c r="H363" t="inlineStr">
        <is>
          <t>Hair Care</t>
        </is>
      </c>
      <c r="I363" t="inlineStr">
        <is>
          <t>Sophia</t>
        </is>
      </c>
      <c r="J363" t="n">
        <v>178</v>
      </c>
      <c r="K363" t="n">
        <v>22.76</v>
      </c>
      <c r="L363" t="n">
        <v>69.09</v>
      </c>
      <c r="M363" t="n">
        <v>10</v>
      </c>
      <c r="N363" t="n">
        <v>12298.02</v>
      </c>
      <c r="O363" t="n">
        <v>4051.28</v>
      </c>
      <c r="P363" t="n">
        <v>8246.74</v>
      </c>
      <c r="Q363" t="n">
        <v>67.06</v>
      </c>
      <c r="R363" t="inlineStr">
        <is>
          <t>Apple Pay</t>
        </is>
      </c>
      <c r="S363" t="inlineStr">
        <is>
          <t>New</t>
        </is>
      </c>
    </row>
    <row r="364">
      <c r="A364" t="inlineStr">
        <is>
          <t>T100364</t>
        </is>
      </c>
      <c r="B364" s="10" t="n">
        <v>45717</v>
      </c>
      <c r="C364" t="inlineStr">
        <is>
          <t>S003</t>
        </is>
      </c>
      <c r="D364" t="inlineStr">
        <is>
          <t>Coral Gables</t>
        </is>
      </c>
      <c r="E364" t="inlineStr">
        <is>
          <t>Gabriel Samra</t>
        </is>
      </c>
      <c r="F364" t="inlineStr">
        <is>
          <t>GS002</t>
        </is>
      </c>
      <c r="G364" t="inlineStr">
        <is>
          <t>Hydration Shampoo</t>
        </is>
      </c>
      <c r="H364" t="inlineStr">
        <is>
          <t>Hair Care</t>
        </is>
      </c>
      <c r="I364" t="inlineStr">
        <is>
          <t>Emma</t>
        </is>
      </c>
      <c r="J364" t="n">
        <v>176</v>
      </c>
      <c r="K364" t="n">
        <v>16.14</v>
      </c>
      <c r="L364" t="n">
        <v>39.36</v>
      </c>
      <c r="M364" t="n">
        <v>0</v>
      </c>
      <c r="N364" t="n">
        <v>6927.36</v>
      </c>
      <c r="O364" t="n">
        <v>2840.64</v>
      </c>
      <c r="P364" t="n">
        <v>4086.72</v>
      </c>
      <c r="Q364" t="n">
        <v>58.99</v>
      </c>
      <c r="R364" t="inlineStr">
        <is>
          <t>Credit Card</t>
        </is>
      </c>
      <c r="S364" t="inlineStr">
        <is>
          <t>New</t>
        </is>
      </c>
    </row>
    <row r="365">
      <c r="A365" t="inlineStr">
        <is>
          <t>T100365</t>
        </is>
      </c>
      <c r="B365" s="10" t="n">
        <v>45748</v>
      </c>
      <c r="C365" t="inlineStr">
        <is>
          <t>S003</t>
        </is>
      </c>
      <c r="D365" t="inlineStr">
        <is>
          <t>Coral Gables</t>
        </is>
      </c>
      <c r="E365" t="inlineStr">
        <is>
          <t>Gabriel Samra</t>
        </is>
      </c>
      <c r="F365" t="inlineStr">
        <is>
          <t>GS002</t>
        </is>
      </c>
      <c r="G365" t="inlineStr">
        <is>
          <t>Hydration Shampoo</t>
        </is>
      </c>
      <c r="H365" t="inlineStr">
        <is>
          <t>Hair Care</t>
        </is>
      </c>
      <c r="I365" t="inlineStr">
        <is>
          <t>Daniel</t>
        </is>
      </c>
      <c r="J365" t="n">
        <v>216</v>
      </c>
      <c r="K365" t="n">
        <v>29.83</v>
      </c>
      <c r="L365" t="n">
        <v>82.12</v>
      </c>
      <c r="M365" t="n">
        <v>0</v>
      </c>
      <c r="N365" t="n">
        <v>17737.92</v>
      </c>
      <c r="O365" t="n">
        <v>6443.28</v>
      </c>
      <c r="P365" t="n">
        <v>11294.64</v>
      </c>
      <c r="Q365" t="n">
        <v>63.68</v>
      </c>
      <c r="R365" t="inlineStr">
        <is>
          <t>Apple Pay</t>
        </is>
      </c>
      <c r="S365" t="inlineStr">
        <is>
          <t>New</t>
        </is>
      </c>
    </row>
    <row r="366">
      <c r="A366" t="inlineStr">
        <is>
          <t>T100366</t>
        </is>
      </c>
      <c r="B366" s="10" t="n">
        <v>45778</v>
      </c>
      <c r="C366" t="inlineStr">
        <is>
          <t>S003</t>
        </is>
      </c>
      <c r="D366" t="inlineStr">
        <is>
          <t>Coral Gables</t>
        </is>
      </c>
      <c r="E366" t="inlineStr">
        <is>
          <t>Gabriel Samra</t>
        </is>
      </c>
      <c r="F366" t="inlineStr">
        <is>
          <t>GS002</t>
        </is>
      </c>
      <c r="G366" t="inlineStr">
        <is>
          <t>Hydration Shampoo</t>
        </is>
      </c>
      <c r="H366" t="inlineStr">
        <is>
          <t>Hair Care</t>
        </is>
      </c>
      <c r="I366" t="inlineStr">
        <is>
          <t>Daniel</t>
        </is>
      </c>
      <c r="J366" t="n">
        <v>247</v>
      </c>
      <c r="K366" t="n">
        <v>28.27</v>
      </c>
      <c r="L366" t="n">
        <v>68.73999999999999</v>
      </c>
      <c r="M366" t="n">
        <v>0</v>
      </c>
      <c r="N366" t="n">
        <v>16978.78</v>
      </c>
      <c r="O366" t="n">
        <v>6982.69</v>
      </c>
      <c r="P366" t="n">
        <v>9996.09</v>
      </c>
      <c r="Q366" t="n">
        <v>58.87</v>
      </c>
      <c r="R366" t="inlineStr">
        <is>
          <t>Credit Card</t>
        </is>
      </c>
      <c r="S366" t="inlineStr">
        <is>
          <t>New</t>
        </is>
      </c>
    </row>
    <row r="367">
      <c r="A367" t="inlineStr">
        <is>
          <t>T100367</t>
        </is>
      </c>
      <c r="B367" s="10" t="n">
        <v>45809</v>
      </c>
      <c r="C367" t="inlineStr">
        <is>
          <t>S003</t>
        </is>
      </c>
      <c r="D367" t="inlineStr">
        <is>
          <t>Coral Gables</t>
        </is>
      </c>
      <c r="E367" t="inlineStr">
        <is>
          <t>Gabriel Samra</t>
        </is>
      </c>
      <c r="F367" t="inlineStr">
        <is>
          <t>GS002</t>
        </is>
      </c>
      <c r="G367" t="inlineStr">
        <is>
          <t>Hydration Shampoo</t>
        </is>
      </c>
      <c r="H367" t="inlineStr">
        <is>
          <t>Hair Care</t>
        </is>
      </c>
      <c r="I367" t="inlineStr">
        <is>
          <t>Olivia</t>
        </is>
      </c>
      <c r="J367" t="n">
        <v>245</v>
      </c>
      <c r="K367" t="n">
        <v>16.3</v>
      </c>
      <c r="L367" t="n">
        <v>42.99</v>
      </c>
      <c r="M367" t="n">
        <v>0</v>
      </c>
      <c r="N367" t="n">
        <v>10532.55</v>
      </c>
      <c r="O367" t="n">
        <v>3993.5</v>
      </c>
      <c r="P367" t="n">
        <v>6539.05</v>
      </c>
      <c r="Q367" t="n">
        <v>62.08</v>
      </c>
      <c r="R367" t="inlineStr">
        <is>
          <t>Apple Pay</t>
        </is>
      </c>
      <c r="S367" t="inlineStr">
        <is>
          <t>New</t>
        </is>
      </c>
    </row>
    <row r="368">
      <c r="A368" t="inlineStr">
        <is>
          <t>T100368</t>
        </is>
      </c>
      <c r="B368" s="10" t="n">
        <v>45292</v>
      </c>
      <c r="C368" t="inlineStr">
        <is>
          <t>S003</t>
        </is>
      </c>
      <c r="D368" t="inlineStr">
        <is>
          <t>Coral Gables</t>
        </is>
      </c>
      <c r="E368" t="inlineStr">
        <is>
          <t>Gabriel Samra</t>
        </is>
      </c>
      <c r="F368" t="inlineStr">
        <is>
          <t>GS003</t>
        </is>
      </c>
      <c r="G368" t="inlineStr">
        <is>
          <t>Repair Mask</t>
        </is>
      </c>
      <c r="H368" t="inlineStr">
        <is>
          <t>Hair Care</t>
        </is>
      </c>
      <c r="I368" t="inlineStr">
        <is>
          <t>Sophia</t>
        </is>
      </c>
      <c r="J368" t="n">
        <v>51</v>
      </c>
      <c r="K368" t="n">
        <v>20.11</v>
      </c>
      <c r="L368" t="n">
        <v>40.71</v>
      </c>
      <c r="M368" t="n">
        <v>0</v>
      </c>
      <c r="N368" t="n">
        <v>2076.21</v>
      </c>
      <c r="O368" t="n">
        <v>1025.61</v>
      </c>
      <c r="P368" t="n">
        <v>1050.6</v>
      </c>
      <c r="Q368" t="n">
        <v>50.6</v>
      </c>
      <c r="R368" t="inlineStr">
        <is>
          <t>Credit Card</t>
        </is>
      </c>
      <c r="S368" t="inlineStr">
        <is>
          <t>Returning</t>
        </is>
      </c>
    </row>
    <row r="369">
      <c r="A369" t="inlineStr">
        <is>
          <t>T100369</t>
        </is>
      </c>
      <c r="B369" s="10" t="n">
        <v>45323</v>
      </c>
      <c r="C369" t="inlineStr">
        <is>
          <t>S003</t>
        </is>
      </c>
      <c r="D369" t="inlineStr">
        <is>
          <t>Coral Gables</t>
        </is>
      </c>
      <c r="E369" t="inlineStr">
        <is>
          <t>Gabriel Samra</t>
        </is>
      </c>
      <c r="F369" t="inlineStr">
        <is>
          <t>GS003</t>
        </is>
      </c>
      <c r="G369" t="inlineStr">
        <is>
          <t>Repair Mask</t>
        </is>
      </c>
      <c r="H369" t="inlineStr">
        <is>
          <t>Hair Care</t>
        </is>
      </c>
      <c r="I369" t="inlineStr">
        <is>
          <t>Emma</t>
        </is>
      </c>
      <c r="J369" t="n">
        <v>62</v>
      </c>
      <c r="K369" t="n">
        <v>26.44</v>
      </c>
      <c r="L369" t="n">
        <v>87.68000000000001</v>
      </c>
      <c r="M369" t="n">
        <v>0</v>
      </c>
      <c r="N369" t="n">
        <v>5436.16</v>
      </c>
      <c r="O369" t="n">
        <v>1639.28</v>
      </c>
      <c r="P369" t="n">
        <v>3796.88</v>
      </c>
      <c r="Q369" t="n">
        <v>69.84</v>
      </c>
      <c r="R369" t="inlineStr">
        <is>
          <t>Cash</t>
        </is>
      </c>
      <c r="S369" t="inlineStr">
        <is>
          <t>New</t>
        </is>
      </c>
    </row>
    <row r="370">
      <c r="A370" t="inlineStr">
        <is>
          <t>T100370</t>
        </is>
      </c>
      <c r="B370" s="10" t="n">
        <v>45352</v>
      </c>
      <c r="C370" t="inlineStr">
        <is>
          <t>S003</t>
        </is>
      </c>
      <c r="D370" t="inlineStr">
        <is>
          <t>Coral Gables</t>
        </is>
      </c>
      <c r="E370" t="inlineStr">
        <is>
          <t>Gabriel Samra</t>
        </is>
      </c>
      <c r="F370" t="inlineStr">
        <is>
          <t>GS003</t>
        </is>
      </c>
      <c r="G370" t="inlineStr">
        <is>
          <t>Repair Mask</t>
        </is>
      </c>
      <c r="H370" t="inlineStr">
        <is>
          <t>Hair Care</t>
        </is>
      </c>
      <c r="I370" t="inlineStr">
        <is>
          <t>Lucas</t>
        </is>
      </c>
      <c r="J370" t="n">
        <v>67</v>
      </c>
      <c r="K370" t="n">
        <v>32.09</v>
      </c>
      <c r="L370" t="n">
        <v>107.9</v>
      </c>
      <c r="M370" t="n">
        <v>0</v>
      </c>
      <c r="N370" t="n">
        <v>7229.3</v>
      </c>
      <c r="O370" t="n">
        <v>2150.03</v>
      </c>
      <c r="P370" t="n">
        <v>5079.27</v>
      </c>
      <c r="Q370" t="n">
        <v>70.26000000000001</v>
      </c>
      <c r="R370" t="inlineStr">
        <is>
          <t>Cash</t>
        </is>
      </c>
      <c r="S370" t="inlineStr">
        <is>
          <t>Returning</t>
        </is>
      </c>
    </row>
    <row r="371">
      <c r="A371" t="inlineStr">
        <is>
          <t>T100371</t>
        </is>
      </c>
      <c r="B371" s="10" t="n">
        <v>45383</v>
      </c>
      <c r="C371" t="inlineStr">
        <is>
          <t>S003</t>
        </is>
      </c>
      <c r="D371" t="inlineStr">
        <is>
          <t>Coral Gables</t>
        </is>
      </c>
      <c r="E371" t="inlineStr">
        <is>
          <t>Gabriel Samra</t>
        </is>
      </c>
      <c r="F371" t="inlineStr">
        <is>
          <t>GS003</t>
        </is>
      </c>
      <c r="G371" t="inlineStr">
        <is>
          <t>Repair Mask</t>
        </is>
      </c>
      <c r="H371" t="inlineStr">
        <is>
          <t>Hair Care</t>
        </is>
      </c>
      <c r="I371" t="inlineStr">
        <is>
          <t>Sophia</t>
        </is>
      </c>
      <c r="J371" t="n">
        <v>71</v>
      </c>
      <c r="K371" t="n">
        <v>19.63</v>
      </c>
      <c r="L371" t="n">
        <v>55.56</v>
      </c>
      <c r="M371" t="n">
        <v>0</v>
      </c>
      <c r="N371" t="n">
        <v>3944.76</v>
      </c>
      <c r="O371" t="n">
        <v>1393.73</v>
      </c>
      <c r="P371" t="n">
        <v>2551.03</v>
      </c>
      <c r="Q371" t="n">
        <v>64.67</v>
      </c>
      <c r="R371" t="inlineStr">
        <is>
          <t>Credit Card</t>
        </is>
      </c>
      <c r="S371" t="inlineStr">
        <is>
          <t>Returning</t>
        </is>
      </c>
    </row>
    <row r="372">
      <c r="A372" t="inlineStr">
        <is>
          <t>T100372</t>
        </is>
      </c>
      <c r="B372" s="10" t="n">
        <v>45413</v>
      </c>
      <c r="C372" t="inlineStr">
        <is>
          <t>S003</t>
        </is>
      </c>
      <c r="D372" t="inlineStr">
        <is>
          <t>Coral Gables</t>
        </is>
      </c>
      <c r="E372" t="inlineStr">
        <is>
          <t>Gabriel Samra</t>
        </is>
      </c>
      <c r="F372" t="inlineStr">
        <is>
          <t>GS003</t>
        </is>
      </c>
      <c r="G372" t="inlineStr">
        <is>
          <t>Repair Mask</t>
        </is>
      </c>
      <c r="H372" t="inlineStr">
        <is>
          <t>Hair Care</t>
        </is>
      </c>
      <c r="I372" t="inlineStr">
        <is>
          <t>Emma</t>
        </is>
      </c>
      <c r="J372" t="n">
        <v>63</v>
      </c>
      <c r="K372" t="n">
        <v>24.86</v>
      </c>
      <c r="L372" t="n">
        <v>65.17</v>
      </c>
      <c r="M372" t="n">
        <v>0</v>
      </c>
      <c r="N372" t="n">
        <v>4105.71</v>
      </c>
      <c r="O372" t="n">
        <v>1566.18</v>
      </c>
      <c r="P372" t="n">
        <v>2539.53</v>
      </c>
      <c r="Q372" t="n">
        <v>61.85</v>
      </c>
      <c r="R372" t="inlineStr">
        <is>
          <t>Cash</t>
        </is>
      </c>
      <c r="S372" t="inlineStr">
        <is>
          <t>Returning</t>
        </is>
      </c>
    </row>
    <row r="373">
      <c r="A373" t="inlineStr">
        <is>
          <t>T100373</t>
        </is>
      </c>
      <c r="B373" s="10" t="n">
        <v>45444</v>
      </c>
      <c r="C373" t="inlineStr">
        <is>
          <t>S003</t>
        </is>
      </c>
      <c r="D373" t="inlineStr">
        <is>
          <t>Coral Gables</t>
        </is>
      </c>
      <c r="E373" t="inlineStr">
        <is>
          <t>Gabriel Samra</t>
        </is>
      </c>
      <c r="F373" t="inlineStr">
        <is>
          <t>GS003</t>
        </is>
      </c>
      <c r="G373" t="inlineStr">
        <is>
          <t>Repair Mask</t>
        </is>
      </c>
      <c r="H373" t="inlineStr">
        <is>
          <t>Hair Care</t>
        </is>
      </c>
      <c r="I373" t="inlineStr">
        <is>
          <t>Sophia</t>
        </is>
      </c>
      <c r="J373" t="n">
        <v>65</v>
      </c>
      <c r="K373" t="n">
        <v>26.95</v>
      </c>
      <c r="L373" t="n">
        <v>76.29000000000001</v>
      </c>
      <c r="M373" t="n">
        <v>10</v>
      </c>
      <c r="N373" t="n">
        <v>4958.85</v>
      </c>
      <c r="O373" t="n">
        <v>1751.75</v>
      </c>
      <c r="P373" t="n">
        <v>3207.1</v>
      </c>
      <c r="Q373" t="n">
        <v>64.67</v>
      </c>
      <c r="R373" t="inlineStr">
        <is>
          <t>Apple Pay</t>
        </is>
      </c>
      <c r="S373" t="inlineStr">
        <is>
          <t>Returning</t>
        </is>
      </c>
    </row>
    <row r="374">
      <c r="A374" t="inlineStr">
        <is>
          <t>T100374</t>
        </is>
      </c>
      <c r="B374" s="10" t="n">
        <v>45474</v>
      </c>
      <c r="C374" t="inlineStr">
        <is>
          <t>S003</t>
        </is>
      </c>
      <c r="D374" t="inlineStr">
        <is>
          <t>Coral Gables</t>
        </is>
      </c>
      <c r="E374" t="inlineStr">
        <is>
          <t>Gabriel Samra</t>
        </is>
      </c>
      <c r="F374" t="inlineStr">
        <is>
          <t>GS003</t>
        </is>
      </c>
      <c r="G374" t="inlineStr">
        <is>
          <t>Repair Mask</t>
        </is>
      </c>
      <c r="H374" t="inlineStr">
        <is>
          <t>Hair Care</t>
        </is>
      </c>
      <c r="I374" t="inlineStr">
        <is>
          <t>Olivia</t>
        </is>
      </c>
      <c r="J374" t="n">
        <v>84</v>
      </c>
      <c r="K374" t="n">
        <v>34.01</v>
      </c>
      <c r="L374" t="n">
        <v>73.69</v>
      </c>
      <c r="M374" t="n">
        <v>0</v>
      </c>
      <c r="N374" t="n">
        <v>6189.96</v>
      </c>
      <c r="O374" t="n">
        <v>2856.84</v>
      </c>
      <c r="P374" t="n">
        <v>3333.12</v>
      </c>
      <c r="Q374" t="n">
        <v>53.85</v>
      </c>
      <c r="R374" t="inlineStr">
        <is>
          <t>Apple Pay</t>
        </is>
      </c>
      <c r="S374" t="inlineStr">
        <is>
          <t>New</t>
        </is>
      </c>
    </row>
    <row r="375">
      <c r="A375" t="inlineStr">
        <is>
          <t>T100375</t>
        </is>
      </c>
      <c r="B375" s="10" t="n">
        <v>45505</v>
      </c>
      <c r="C375" t="inlineStr">
        <is>
          <t>S003</t>
        </is>
      </c>
      <c r="D375" t="inlineStr">
        <is>
          <t>Coral Gables</t>
        </is>
      </c>
      <c r="E375" t="inlineStr">
        <is>
          <t>Gabriel Samra</t>
        </is>
      </c>
      <c r="F375" t="inlineStr">
        <is>
          <t>GS003</t>
        </is>
      </c>
      <c r="G375" t="inlineStr">
        <is>
          <t>Repair Mask</t>
        </is>
      </c>
      <c r="H375" t="inlineStr">
        <is>
          <t>Hair Care</t>
        </is>
      </c>
      <c r="I375" t="inlineStr">
        <is>
          <t>Daniel</t>
        </is>
      </c>
      <c r="J375" t="n">
        <v>168</v>
      </c>
      <c r="K375" t="n">
        <v>27.15</v>
      </c>
      <c r="L375" t="n">
        <v>83.08</v>
      </c>
      <c r="M375" t="n">
        <v>10</v>
      </c>
      <c r="N375" t="n">
        <v>13957.44</v>
      </c>
      <c r="O375" t="n">
        <v>4561.2</v>
      </c>
      <c r="P375" t="n">
        <v>9396.24</v>
      </c>
      <c r="Q375" t="n">
        <v>67.31999999999999</v>
      </c>
      <c r="R375" t="inlineStr">
        <is>
          <t>Apple Pay</t>
        </is>
      </c>
      <c r="S375" t="inlineStr">
        <is>
          <t>New</t>
        </is>
      </c>
    </row>
    <row r="376">
      <c r="A376" t="inlineStr">
        <is>
          <t>T100376</t>
        </is>
      </c>
      <c r="B376" s="10" t="n">
        <v>45536</v>
      </c>
      <c r="C376" t="inlineStr">
        <is>
          <t>S003</t>
        </is>
      </c>
      <c r="D376" t="inlineStr">
        <is>
          <t>Coral Gables</t>
        </is>
      </c>
      <c r="E376" t="inlineStr">
        <is>
          <t>Gabriel Samra</t>
        </is>
      </c>
      <c r="F376" t="inlineStr">
        <is>
          <t>GS003</t>
        </is>
      </c>
      <c r="G376" t="inlineStr">
        <is>
          <t>Repair Mask</t>
        </is>
      </c>
      <c r="H376" t="inlineStr">
        <is>
          <t>Hair Care</t>
        </is>
      </c>
      <c r="I376" t="inlineStr">
        <is>
          <t>Daniel</t>
        </is>
      </c>
      <c r="J376" t="n">
        <v>65</v>
      </c>
      <c r="K376" t="n">
        <v>12.65</v>
      </c>
      <c r="L376" t="n">
        <v>31.71</v>
      </c>
      <c r="M376" t="n">
        <v>10</v>
      </c>
      <c r="N376" t="n">
        <v>2061.15</v>
      </c>
      <c r="O376" t="n">
        <v>822.25</v>
      </c>
      <c r="P376" t="n">
        <v>1238.9</v>
      </c>
      <c r="Q376" t="n">
        <v>60.11</v>
      </c>
      <c r="R376" t="inlineStr">
        <is>
          <t>Apple Pay</t>
        </is>
      </c>
      <c r="S376" t="inlineStr">
        <is>
          <t>New</t>
        </is>
      </c>
    </row>
    <row r="377">
      <c r="A377" t="inlineStr">
        <is>
          <t>T100377</t>
        </is>
      </c>
      <c r="B377" s="10" t="n">
        <v>45566</v>
      </c>
      <c r="C377" t="inlineStr">
        <is>
          <t>S003</t>
        </is>
      </c>
      <c r="D377" t="inlineStr">
        <is>
          <t>Coral Gables</t>
        </is>
      </c>
      <c r="E377" t="inlineStr">
        <is>
          <t>Gabriel Samra</t>
        </is>
      </c>
      <c r="F377" t="inlineStr">
        <is>
          <t>GS003</t>
        </is>
      </c>
      <c r="G377" t="inlineStr">
        <is>
          <t>Repair Mask</t>
        </is>
      </c>
      <c r="H377" t="inlineStr">
        <is>
          <t>Hair Care</t>
        </is>
      </c>
      <c r="I377" t="inlineStr">
        <is>
          <t>Lucas</t>
        </is>
      </c>
      <c r="J377" t="n">
        <v>75</v>
      </c>
      <c r="K377" t="n">
        <v>32.57</v>
      </c>
      <c r="L377" t="n">
        <v>105.97</v>
      </c>
      <c r="M377" t="n">
        <v>0</v>
      </c>
      <c r="N377" t="n">
        <v>7947.75</v>
      </c>
      <c r="O377" t="n">
        <v>2442.75</v>
      </c>
      <c r="P377" t="n">
        <v>5505</v>
      </c>
      <c r="Q377" t="n">
        <v>69.26000000000001</v>
      </c>
      <c r="R377" t="inlineStr">
        <is>
          <t>Cash</t>
        </is>
      </c>
      <c r="S377" t="inlineStr">
        <is>
          <t>New</t>
        </is>
      </c>
    </row>
    <row r="378">
      <c r="A378" t="inlineStr">
        <is>
          <t>T100378</t>
        </is>
      </c>
      <c r="B378" s="10" t="n">
        <v>45597</v>
      </c>
      <c r="C378" t="inlineStr">
        <is>
          <t>S003</t>
        </is>
      </c>
      <c r="D378" t="inlineStr">
        <is>
          <t>Coral Gables</t>
        </is>
      </c>
      <c r="E378" t="inlineStr">
        <is>
          <t>Gabriel Samra</t>
        </is>
      </c>
      <c r="F378" t="inlineStr">
        <is>
          <t>GS003</t>
        </is>
      </c>
      <c r="G378" t="inlineStr">
        <is>
          <t>Repair Mask</t>
        </is>
      </c>
      <c r="H378" t="inlineStr">
        <is>
          <t>Hair Care</t>
        </is>
      </c>
      <c r="I378" t="inlineStr">
        <is>
          <t>Olivia</t>
        </is>
      </c>
      <c r="J378" t="n">
        <v>85</v>
      </c>
      <c r="K378" t="n">
        <v>19.86</v>
      </c>
      <c r="L378" t="n">
        <v>44.01</v>
      </c>
      <c r="M378" t="n">
        <v>0</v>
      </c>
      <c r="N378" t="n">
        <v>3740.85</v>
      </c>
      <c r="O378" t="n">
        <v>1688.1</v>
      </c>
      <c r="P378" t="n">
        <v>2052.75</v>
      </c>
      <c r="Q378" t="n">
        <v>54.87</v>
      </c>
      <c r="R378" t="inlineStr">
        <is>
          <t>Apple Pay</t>
        </is>
      </c>
      <c r="S378" t="inlineStr">
        <is>
          <t>Returning</t>
        </is>
      </c>
    </row>
    <row r="379">
      <c r="A379" t="inlineStr">
        <is>
          <t>T100379</t>
        </is>
      </c>
      <c r="B379" s="10" t="n">
        <v>45627</v>
      </c>
      <c r="C379" t="inlineStr">
        <is>
          <t>S003</t>
        </is>
      </c>
      <c r="D379" t="inlineStr">
        <is>
          <t>Coral Gables</t>
        </is>
      </c>
      <c r="E379" t="inlineStr">
        <is>
          <t>Gabriel Samra</t>
        </is>
      </c>
      <c r="F379" t="inlineStr">
        <is>
          <t>GS003</t>
        </is>
      </c>
      <c r="G379" t="inlineStr">
        <is>
          <t>Repair Mask</t>
        </is>
      </c>
      <c r="H379" t="inlineStr">
        <is>
          <t>Hair Care</t>
        </is>
      </c>
      <c r="I379" t="inlineStr">
        <is>
          <t>Emma</t>
        </is>
      </c>
      <c r="J379" t="n">
        <v>83</v>
      </c>
      <c r="K379" t="n">
        <v>29.06</v>
      </c>
      <c r="L379" t="n">
        <v>70.7</v>
      </c>
      <c r="M379" t="n">
        <v>5</v>
      </c>
      <c r="N379" t="n">
        <v>5868.1</v>
      </c>
      <c r="O379" t="n">
        <v>2411.98</v>
      </c>
      <c r="P379" t="n">
        <v>3456.12</v>
      </c>
      <c r="Q379" t="n">
        <v>58.9</v>
      </c>
      <c r="R379" t="inlineStr">
        <is>
          <t>Apple Pay</t>
        </is>
      </c>
      <c r="S379" t="inlineStr">
        <is>
          <t>New</t>
        </is>
      </c>
    </row>
    <row r="380">
      <c r="A380" t="inlineStr">
        <is>
          <t>T100380</t>
        </is>
      </c>
      <c r="B380" s="10" t="n">
        <v>45658</v>
      </c>
      <c r="C380" t="inlineStr">
        <is>
          <t>S003</t>
        </is>
      </c>
      <c r="D380" t="inlineStr">
        <is>
          <t>Coral Gables</t>
        </is>
      </c>
      <c r="E380" t="inlineStr">
        <is>
          <t>Gabriel Samra</t>
        </is>
      </c>
      <c r="F380" t="inlineStr">
        <is>
          <t>GS003</t>
        </is>
      </c>
      <c r="G380" t="inlineStr">
        <is>
          <t>Repair Mask</t>
        </is>
      </c>
      <c r="H380" t="inlineStr">
        <is>
          <t>Hair Care</t>
        </is>
      </c>
      <c r="I380" t="inlineStr">
        <is>
          <t>Daniel</t>
        </is>
      </c>
      <c r="J380" t="n">
        <v>69</v>
      </c>
      <c r="K380" t="n">
        <v>33.31</v>
      </c>
      <c r="L380" t="n">
        <v>110.5</v>
      </c>
      <c r="M380" t="n">
        <v>0</v>
      </c>
      <c r="N380" t="n">
        <v>7624.5</v>
      </c>
      <c r="O380" t="n">
        <v>2298.39</v>
      </c>
      <c r="P380" t="n">
        <v>5326.11</v>
      </c>
      <c r="Q380" t="n">
        <v>69.86</v>
      </c>
      <c r="R380" t="inlineStr">
        <is>
          <t>Credit Card</t>
        </is>
      </c>
      <c r="S380" t="inlineStr">
        <is>
          <t>Returning</t>
        </is>
      </c>
    </row>
    <row r="381">
      <c r="A381" t="inlineStr">
        <is>
          <t>T100381</t>
        </is>
      </c>
      <c r="B381" s="10" t="n">
        <v>45689</v>
      </c>
      <c r="C381" t="inlineStr">
        <is>
          <t>S003</t>
        </is>
      </c>
      <c r="D381" t="inlineStr">
        <is>
          <t>Coral Gables</t>
        </is>
      </c>
      <c r="E381" t="inlineStr">
        <is>
          <t>Gabriel Samra</t>
        </is>
      </c>
      <c r="F381" t="inlineStr">
        <is>
          <t>GS003</t>
        </is>
      </c>
      <c r="G381" t="inlineStr">
        <is>
          <t>Repair Mask</t>
        </is>
      </c>
      <c r="H381" t="inlineStr">
        <is>
          <t>Hair Care</t>
        </is>
      </c>
      <c r="I381" t="inlineStr">
        <is>
          <t>Sophia</t>
        </is>
      </c>
      <c r="J381" t="n">
        <v>83</v>
      </c>
      <c r="K381" t="n">
        <v>22.4</v>
      </c>
      <c r="L381" t="n">
        <v>63.14</v>
      </c>
      <c r="M381" t="n">
        <v>10</v>
      </c>
      <c r="N381" t="n">
        <v>5240.62</v>
      </c>
      <c r="O381" t="n">
        <v>1859.2</v>
      </c>
      <c r="P381" t="n">
        <v>3381.42</v>
      </c>
      <c r="Q381" t="n">
        <v>64.52</v>
      </c>
      <c r="R381" t="inlineStr">
        <is>
          <t>Apple Pay</t>
        </is>
      </c>
      <c r="S381" t="inlineStr">
        <is>
          <t>New</t>
        </is>
      </c>
    </row>
    <row r="382">
      <c r="A382" t="inlineStr">
        <is>
          <t>T100382</t>
        </is>
      </c>
      <c r="B382" s="10" t="n">
        <v>45717</v>
      </c>
      <c r="C382" t="inlineStr">
        <is>
          <t>S003</t>
        </is>
      </c>
      <c r="D382" t="inlineStr">
        <is>
          <t>Coral Gables</t>
        </is>
      </c>
      <c r="E382" t="inlineStr">
        <is>
          <t>Gabriel Samra</t>
        </is>
      </c>
      <c r="F382" t="inlineStr">
        <is>
          <t>GS003</t>
        </is>
      </c>
      <c r="G382" t="inlineStr">
        <is>
          <t>Repair Mask</t>
        </is>
      </c>
      <c r="H382" t="inlineStr">
        <is>
          <t>Hair Care</t>
        </is>
      </c>
      <c r="I382" t="inlineStr">
        <is>
          <t>Daniel</t>
        </is>
      </c>
      <c r="J382" t="n">
        <v>87</v>
      </c>
      <c r="K382" t="n">
        <v>12.97</v>
      </c>
      <c r="L382" t="n">
        <v>29.76</v>
      </c>
      <c r="M382" t="n">
        <v>0</v>
      </c>
      <c r="N382" t="n">
        <v>2589.12</v>
      </c>
      <c r="O382" t="n">
        <v>1128.39</v>
      </c>
      <c r="P382" t="n">
        <v>1460.73</v>
      </c>
      <c r="Q382" t="n">
        <v>56.42</v>
      </c>
      <c r="R382" t="inlineStr">
        <is>
          <t>Cash</t>
        </is>
      </c>
      <c r="S382" t="inlineStr">
        <is>
          <t>New</t>
        </is>
      </c>
    </row>
    <row r="383">
      <c r="A383" t="inlineStr">
        <is>
          <t>T100383</t>
        </is>
      </c>
      <c r="B383" s="10" t="n">
        <v>45748</v>
      </c>
      <c r="C383" t="inlineStr">
        <is>
          <t>S003</t>
        </is>
      </c>
      <c r="D383" t="inlineStr">
        <is>
          <t>Coral Gables</t>
        </is>
      </c>
      <c r="E383" t="inlineStr">
        <is>
          <t>Gabriel Samra</t>
        </is>
      </c>
      <c r="F383" t="inlineStr">
        <is>
          <t>GS003</t>
        </is>
      </c>
      <c r="G383" t="inlineStr">
        <is>
          <t>Repair Mask</t>
        </is>
      </c>
      <c r="H383" t="inlineStr">
        <is>
          <t>Hair Care</t>
        </is>
      </c>
      <c r="I383" t="inlineStr">
        <is>
          <t>Sophia</t>
        </is>
      </c>
      <c r="J383" t="n">
        <v>96</v>
      </c>
      <c r="K383" t="n">
        <v>30.44</v>
      </c>
      <c r="L383" t="n">
        <v>105.63</v>
      </c>
      <c r="M383" t="n">
        <v>10</v>
      </c>
      <c r="N383" t="n">
        <v>10140.48</v>
      </c>
      <c r="O383" t="n">
        <v>2922.24</v>
      </c>
      <c r="P383" t="n">
        <v>7218.24</v>
      </c>
      <c r="Q383" t="n">
        <v>71.18000000000001</v>
      </c>
      <c r="R383" t="inlineStr">
        <is>
          <t>Credit Card</t>
        </is>
      </c>
      <c r="S383" t="inlineStr">
        <is>
          <t>Returning</t>
        </is>
      </c>
    </row>
    <row r="384">
      <c r="A384" t="inlineStr">
        <is>
          <t>T100384</t>
        </is>
      </c>
      <c r="B384" s="10" t="n">
        <v>45778</v>
      </c>
      <c r="C384" t="inlineStr">
        <is>
          <t>S003</t>
        </is>
      </c>
      <c r="D384" t="inlineStr">
        <is>
          <t>Coral Gables</t>
        </is>
      </c>
      <c r="E384" t="inlineStr">
        <is>
          <t>Gabriel Samra</t>
        </is>
      </c>
      <c r="F384" t="inlineStr">
        <is>
          <t>GS003</t>
        </is>
      </c>
      <c r="G384" t="inlineStr">
        <is>
          <t>Repair Mask</t>
        </is>
      </c>
      <c r="H384" t="inlineStr">
        <is>
          <t>Hair Care</t>
        </is>
      </c>
      <c r="I384" t="inlineStr">
        <is>
          <t>Sophia</t>
        </is>
      </c>
      <c r="J384" t="n">
        <v>79</v>
      </c>
      <c r="K384" t="n">
        <v>29.31</v>
      </c>
      <c r="L384" t="n">
        <v>78.45999999999999</v>
      </c>
      <c r="M384" t="n">
        <v>0</v>
      </c>
      <c r="N384" t="n">
        <v>6198.34</v>
      </c>
      <c r="O384" t="n">
        <v>2315.49</v>
      </c>
      <c r="P384" t="n">
        <v>3882.85</v>
      </c>
      <c r="Q384" t="n">
        <v>62.64</v>
      </c>
      <c r="R384" t="inlineStr">
        <is>
          <t>Cash</t>
        </is>
      </c>
      <c r="S384" t="inlineStr">
        <is>
          <t>New</t>
        </is>
      </c>
    </row>
    <row r="385">
      <c r="A385" t="inlineStr">
        <is>
          <t>T100385</t>
        </is>
      </c>
      <c r="B385" s="10" t="n">
        <v>45809</v>
      </c>
      <c r="C385" t="inlineStr">
        <is>
          <t>S003</t>
        </is>
      </c>
      <c r="D385" t="inlineStr">
        <is>
          <t>Coral Gables</t>
        </is>
      </c>
      <c r="E385" t="inlineStr">
        <is>
          <t>Gabriel Samra</t>
        </is>
      </c>
      <c r="F385" t="inlineStr">
        <is>
          <t>GS003</t>
        </is>
      </c>
      <c r="G385" t="inlineStr">
        <is>
          <t>Repair Mask</t>
        </is>
      </c>
      <c r="H385" t="inlineStr">
        <is>
          <t>Hair Care</t>
        </is>
      </c>
      <c r="I385" t="inlineStr">
        <is>
          <t>Daniel</t>
        </is>
      </c>
      <c r="J385" t="n">
        <v>125</v>
      </c>
      <c r="K385" t="n">
        <v>28.2</v>
      </c>
      <c r="L385" t="n">
        <v>71.56</v>
      </c>
      <c r="M385" t="n">
        <v>0</v>
      </c>
      <c r="N385" t="n">
        <v>8945</v>
      </c>
      <c r="O385" t="n">
        <v>3525</v>
      </c>
      <c r="P385" t="n">
        <v>5420</v>
      </c>
      <c r="Q385" t="n">
        <v>60.59</v>
      </c>
      <c r="R385" t="inlineStr">
        <is>
          <t>Credit Card</t>
        </is>
      </c>
      <c r="S385" t="inlineStr">
        <is>
          <t>Returning</t>
        </is>
      </c>
    </row>
    <row r="386">
      <c r="A386" t="inlineStr">
        <is>
          <t>T100386</t>
        </is>
      </c>
      <c r="B386" s="10" t="n">
        <v>45292</v>
      </c>
      <c r="C386" t="inlineStr">
        <is>
          <t>S003</t>
        </is>
      </c>
      <c r="D386" t="inlineStr">
        <is>
          <t>Coral Gables</t>
        </is>
      </c>
      <c r="E386" t="inlineStr">
        <is>
          <t>Gabriel Samra</t>
        </is>
      </c>
      <c r="F386" t="inlineStr">
        <is>
          <t>GS004</t>
        </is>
      </c>
      <c r="G386" t="inlineStr">
        <is>
          <t>Blonde Conditioner</t>
        </is>
      </c>
      <c r="H386" t="inlineStr">
        <is>
          <t>Hair Care</t>
        </is>
      </c>
      <c r="I386" t="inlineStr">
        <is>
          <t>Emma</t>
        </is>
      </c>
      <c r="J386" t="n">
        <v>38</v>
      </c>
      <c r="K386" t="n">
        <v>29.45</v>
      </c>
      <c r="L386" t="n">
        <v>98.69</v>
      </c>
      <c r="M386" t="n">
        <v>0</v>
      </c>
      <c r="N386" t="n">
        <v>3750.22</v>
      </c>
      <c r="O386" t="n">
        <v>1119.1</v>
      </c>
      <c r="P386" t="n">
        <v>2631.12</v>
      </c>
      <c r="Q386" t="n">
        <v>70.16</v>
      </c>
      <c r="R386" t="inlineStr">
        <is>
          <t>Cash</t>
        </is>
      </c>
      <c r="S386" t="inlineStr">
        <is>
          <t>Returning</t>
        </is>
      </c>
    </row>
    <row r="387">
      <c r="A387" t="inlineStr">
        <is>
          <t>T100387</t>
        </is>
      </c>
      <c r="B387" s="10" t="n">
        <v>45323</v>
      </c>
      <c r="C387" t="inlineStr">
        <is>
          <t>S003</t>
        </is>
      </c>
      <c r="D387" t="inlineStr">
        <is>
          <t>Coral Gables</t>
        </is>
      </c>
      <c r="E387" t="inlineStr">
        <is>
          <t>Gabriel Samra</t>
        </is>
      </c>
      <c r="F387" t="inlineStr">
        <is>
          <t>GS004</t>
        </is>
      </c>
      <c r="G387" t="inlineStr">
        <is>
          <t>Blonde Conditioner</t>
        </is>
      </c>
      <c r="H387" t="inlineStr">
        <is>
          <t>Hair Care</t>
        </is>
      </c>
      <c r="I387" t="inlineStr">
        <is>
          <t>Sophia</t>
        </is>
      </c>
      <c r="J387" t="n">
        <v>43</v>
      </c>
      <c r="K387" t="n">
        <v>19.32</v>
      </c>
      <c r="L387" t="n">
        <v>47.02</v>
      </c>
      <c r="M387" t="n">
        <v>0</v>
      </c>
      <c r="N387" t="n">
        <v>2021.86</v>
      </c>
      <c r="O387" t="n">
        <v>830.76</v>
      </c>
      <c r="P387" t="n">
        <v>1191.1</v>
      </c>
      <c r="Q387" t="n">
        <v>58.91</v>
      </c>
      <c r="R387" t="inlineStr">
        <is>
          <t>Cash</t>
        </is>
      </c>
      <c r="S387" t="inlineStr">
        <is>
          <t>New</t>
        </is>
      </c>
    </row>
    <row r="388">
      <c r="A388" t="inlineStr">
        <is>
          <t>T100388</t>
        </is>
      </c>
      <c r="B388" s="10" t="n">
        <v>45352</v>
      </c>
      <c r="C388" t="inlineStr">
        <is>
          <t>S003</t>
        </is>
      </c>
      <c r="D388" t="inlineStr">
        <is>
          <t>Coral Gables</t>
        </is>
      </c>
      <c r="E388" t="inlineStr">
        <is>
          <t>Gabriel Samra</t>
        </is>
      </c>
      <c r="F388" t="inlineStr">
        <is>
          <t>GS004</t>
        </is>
      </c>
      <c r="G388" t="inlineStr">
        <is>
          <t>Blonde Conditioner</t>
        </is>
      </c>
      <c r="H388" t="inlineStr">
        <is>
          <t>Hair Care</t>
        </is>
      </c>
      <c r="I388" t="inlineStr">
        <is>
          <t>Lucas</t>
        </is>
      </c>
      <c r="J388" t="n">
        <v>45</v>
      </c>
      <c r="K388" t="n">
        <v>33.16</v>
      </c>
      <c r="L388" t="n">
        <v>105.4</v>
      </c>
      <c r="M388" t="n">
        <v>5</v>
      </c>
      <c r="N388" t="n">
        <v>4743</v>
      </c>
      <c r="O388" t="n">
        <v>1492.2</v>
      </c>
      <c r="P388" t="n">
        <v>3250.8</v>
      </c>
      <c r="Q388" t="n">
        <v>68.54000000000001</v>
      </c>
      <c r="R388" t="inlineStr">
        <is>
          <t>Credit Card</t>
        </is>
      </c>
      <c r="S388" t="inlineStr">
        <is>
          <t>Returning</t>
        </is>
      </c>
    </row>
    <row r="389">
      <c r="A389" t="inlineStr">
        <is>
          <t>T100389</t>
        </is>
      </c>
      <c r="B389" s="10" t="n">
        <v>45383</v>
      </c>
      <c r="C389" t="inlineStr">
        <is>
          <t>S003</t>
        </is>
      </c>
      <c r="D389" t="inlineStr">
        <is>
          <t>Coral Gables</t>
        </is>
      </c>
      <c r="E389" t="inlineStr">
        <is>
          <t>Gabriel Samra</t>
        </is>
      </c>
      <c r="F389" t="inlineStr">
        <is>
          <t>GS004</t>
        </is>
      </c>
      <c r="G389" t="inlineStr">
        <is>
          <t>Blonde Conditioner</t>
        </is>
      </c>
      <c r="H389" t="inlineStr">
        <is>
          <t>Hair Care</t>
        </is>
      </c>
      <c r="I389" t="inlineStr">
        <is>
          <t>Lucas</t>
        </is>
      </c>
      <c r="J389" t="n">
        <v>49</v>
      </c>
      <c r="K389" t="n">
        <v>22.02</v>
      </c>
      <c r="L389" t="n">
        <v>52.33</v>
      </c>
      <c r="M389" t="n">
        <v>5</v>
      </c>
      <c r="N389" t="n">
        <v>2564.17</v>
      </c>
      <c r="O389" t="n">
        <v>1078.98</v>
      </c>
      <c r="P389" t="n">
        <v>1485.19</v>
      </c>
      <c r="Q389" t="n">
        <v>57.92</v>
      </c>
      <c r="R389" t="inlineStr">
        <is>
          <t>Cash</t>
        </is>
      </c>
      <c r="S389" t="inlineStr">
        <is>
          <t>New</t>
        </is>
      </c>
    </row>
    <row r="390">
      <c r="A390" t="inlineStr">
        <is>
          <t>T100390</t>
        </is>
      </c>
      <c r="B390" s="10" t="n">
        <v>45413</v>
      </c>
      <c r="C390" t="inlineStr">
        <is>
          <t>S003</t>
        </is>
      </c>
      <c r="D390" t="inlineStr">
        <is>
          <t>Coral Gables</t>
        </is>
      </c>
      <c r="E390" t="inlineStr">
        <is>
          <t>Gabriel Samra</t>
        </is>
      </c>
      <c r="F390" t="inlineStr">
        <is>
          <t>GS004</t>
        </is>
      </c>
      <c r="G390" t="inlineStr">
        <is>
          <t>Blonde Conditioner</t>
        </is>
      </c>
      <c r="H390" t="inlineStr">
        <is>
          <t>Hair Care</t>
        </is>
      </c>
      <c r="I390" t="inlineStr">
        <is>
          <t>Olivia</t>
        </is>
      </c>
      <c r="J390" t="n">
        <v>43</v>
      </c>
      <c r="K390" t="n">
        <v>32.76</v>
      </c>
      <c r="L390" t="n">
        <v>76.29000000000001</v>
      </c>
      <c r="M390" t="n">
        <v>5</v>
      </c>
      <c r="N390" t="n">
        <v>3280.47</v>
      </c>
      <c r="O390" t="n">
        <v>1408.68</v>
      </c>
      <c r="P390" t="n">
        <v>1871.79</v>
      </c>
      <c r="Q390" t="n">
        <v>57.06</v>
      </c>
      <c r="R390" t="inlineStr">
        <is>
          <t>Cash</t>
        </is>
      </c>
      <c r="S390" t="inlineStr">
        <is>
          <t>New</t>
        </is>
      </c>
    </row>
    <row r="391">
      <c r="A391" t="inlineStr">
        <is>
          <t>T100391</t>
        </is>
      </c>
      <c r="B391" s="10" t="n">
        <v>45444</v>
      </c>
      <c r="C391" t="inlineStr">
        <is>
          <t>S003</t>
        </is>
      </c>
      <c r="D391" t="inlineStr">
        <is>
          <t>Coral Gables</t>
        </is>
      </c>
      <c r="E391" t="inlineStr">
        <is>
          <t>Gabriel Samra</t>
        </is>
      </c>
      <c r="F391" t="inlineStr">
        <is>
          <t>GS004</t>
        </is>
      </c>
      <c r="G391" t="inlineStr">
        <is>
          <t>Blonde Conditioner</t>
        </is>
      </c>
      <c r="H391" t="inlineStr">
        <is>
          <t>Hair Care</t>
        </is>
      </c>
      <c r="I391" t="inlineStr">
        <is>
          <t>Emma</t>
        </is>
      </c>
      <c r="J391" t="n">
        <v>61</v>
      </c>
      <c r="K391" t="n">
        <v>16.92</v>
      </c>
      <c r="L391" t="n">
        <v>37.31</v>
      </c>
      <c r="M391" t="n">
        <v>10</v>
      </c>
      <c r="N391" t="n">
        <v>2275.91</v>
      </c>
      <c r="O391" t="n">
        <v>1032.12</v>
      </c>
      <c r="P391" t="n">
        <v>1243.79</v>
      </c>
      <c r="Q391" t="n">
        <v>54.65</v>
      </c>
      <c r="R391" t="inlineStr">
        <is>
          <t>Cash</t>
        </is>
      </c>
      <c r="S391" t="inlineStr">
        <is>
          <t>Returning</t>
        </is>
      </c>
    </row>
    <row r="392">
      <c r="A392" t="inlineStr">
        <is>
          <t>T100392</t>
        </is>
      </c>
      <c r="B392" s="10" t="n">
        <v>45474</v>
      </c>
      <c r="C392" t="inlineStr">
        <is>
          <t>S003</t>
        </is>
      </c>
      <c r="D392" t="inlineStr">
        <is>
          <t>Coral Gables</t>
        </is>
      </c>
      <c r="E392" t="inlineStr">
        <is>
          <t>Gabriel Samra</t>
        </is>
      </c>
      <c r="F392" t="inlineStr">
        <is>
          <t>GS004</t>
        </is>
      </c>
      <c r="G392" t="inlineStr">
        <is>
          <t>Blonde Conditioner</t>
        </is>
      </c>
      <c r="H392" t="inlineStr">
        <is>
          <t>Hair Care</t>
        </is>
      </c>
      <c r="I392" t="inlineStr">
        <is>
          <t>Lucas</t>
        </is>
      </c>
      <c r="J392" t="n">
        <v>65</v>
      </c>
      <c r="K392" t="n">
        <v>27.49</v>
      </c>
      <c r="L392" t="n">
        <v>63.64</v>
      </c>
      <c r="M392" t="n">
        <v>5</v>
      </c>
      <c r="N392" t="n">
        <v>4136.6</v>
      </c>
      <c r="O392" t="n">
        <v>1786.85</v>
      </c>
      <c r="P392" t="n">
        <v>2349.75</v>
      </c>
      <c r="Q392" t="n">
        <v>56.8</v>
      </c>
      <c r="R392" t="inlineStr">
        <is>
          <t>Cash</t>
        </is>
      </c>
      <c r="S392" t="inlineStr">
        <is>
          <t>Returning</t>
        </is>
      </c>
    </row>
    <row r="393">
      <c r="A393" t="inlineStr">
        <is>
          <t>T100393</t>
        </is>
      </c>
      <c r="B393" s="10" t="n">
        <v>45505</v>
      </c>
      <c r="C393" t="inlineStr">
        <is>
          <t>S003</t>
        </is>
      </c>
      <c r="D393" t="inlineStr">
        <is>
          <t>Coral Gables</t>
        </is>
      </c>
      <c r="E393" t="inlineStr">
        <is>
          <t>Gabriel Samra</t>
        </is>
      </c>
      <c r="F393" t="inlineStr">
        <is>
          <t>GS004</t>
        </is>
      </c>
      <c r="G393" t="inlineStr">
        <is>
          <t>Blonde Conditioner</t>
        </is>
      </c>
      <c r="H393" t="inlineStr">
        <is>
          <t>Hair Care</t>
        </is>
      </c>
      <c r="I393" t="inlineStr">
        <is>
          <t>Sophia</t>
        </is>
      </c>
      <c r="J393" t="n">
        <v>47</v>
      </c>
      <c r="K393" t="n">
        <v>33.18</v>
      </c>
      <c r="L393" t="n">
        <v>106.45</v>
      </c>
      <c r="M393" t="n">
        <v>0</v>
      </c>
      <c r="N393" t="n">
        <v>5003.15</v>
      </c>
      <c r="O393" t="n">
        <v>1559.46</v>
      </c>
      <c r="P393" t="n">
        <v>3443.69</v>
      </c>
      <c r="Q393" t="n">
        <v>68.83</v>
      </c>
      <c r="R393" t="inlineStr">
        <is>
          <t>Apple Pay</t>
        </is>
      </c>
      <c r="S393" t="inlineStr">
        <is>
          <t>Returning</t>
        </is>
      </c>
    </row>
    <row r="394">
      <c r="A394" t="inlineStr">
        <is>
          <t>T100394</t>
        </is>
      </c>
      <c r="B394" s="10" t="n">
        <v>45536</v>
      </c>
      <c r="C394" t="inlineStr">
        <is>
          <t>S003</t>
        </is>
      </c>
      <c r="D394" t="inlineStr">
        <is>
          <t>Coral Gables</t>
        </is>
      </c>
      <c r="E394" t="inlineStr">
        <is>
          <t>Gabriel Samra</t>
        </is>
      </c>
      <c r="F394" t="inlineStr">
        <is>
          <t>GS004</t>
        </is>
      </c>
      <c r="G394" t="inlineStr">
        <is>
          <t>Blonde Conditioner</t>
        </is>
      </c>
      <c r="H394" t="inlineStr">
        <is>
          <t>Hair Care</t>
        </is>
      </c>
      <c r="I394" t="inlineStr">
        <is>
          <t>Daniel</t>
        </is>
      </c>
      <c r="J394" t="n">
        <v>52</v>
      </c>
      <c r="K394" t="n">
        <v>24.85</v>
      </c>
      <c r="L394" t="n">
        <v>64.42</v>
      </c>
      <c r="M394" t="n">
        <v>0</v>
      </c>
      <c r="N394" t="n">
        <v>3349.84</v>
      </c>
      <c r="O394" t="n">
        <v>1292.2</v>
      </c>
      <c r="P394" t="n">
        <v>2057.64</v>
      </c>
      <c r="Q394" t="n">
        <v>61.43</v>
      </c>
      <c r="R394" t="inlineStr">
        <is>
          <t>Apple Pay</t>
        </is>
      </c>
      <c r="S394" t="inlineStr">
        <is>
          <t>Returning</t>
        </is>
      </c>
    </row>
    <row r="395">
      <c r="A395" t="inlineStr">
        <is>
          <t>T100395</t>
        </is>
      </c>
      <c r="B395" s="10" t="n">
        <v>45566</v>
      </c>
      <c r="C395" t="inlineStr">
        <is>
          <t>S003</t>
        </is>
      </c>
      <c r="D395" t="inlineStr">
        <is>
          <t>Coral Gables</t>
        </is>
      </c>
      <c r="E395" t="inlineStr">
        <is>
          <t>Gabriel Samra</t>
        </is>
      </c>
      <c r="F395" t="inlineStr">
        <is>
          <t>GS004</t>
        </is>
      </c>
      <c r="G395" t="inlineStr">
        <is>
          <t>Blonde Conditioner</t>
        </is>
      </c>
      <c r="H395" t="inlineStr">
        <is>
          <t>Hair Care</t>
        </is>
      </c>
      <c r="I395" t="inlineStr">
        <is>
          <t>Daniel</t>
        </is>
      </c>
      <c r="J395" t="n">
        <v>65</v>
      </c>
      <c r="K395" t="n">
        <v>17.95</v>
      </c>
      <c r="L395" t="n">
        <v>39.36</v>
      </c>
      <c r="M395" t="n">
        <v>0</v>
      </c>
      <c r="N395" t="n">
        <v>2558.4</v>
      </c>
      <c r="O395" t="n">
        <v>1166.75</v>
      </c>
      <c r="P395" t="n">
        <v>1391.65</v>
      </c>
      <c r="Q395" t="n">
        <v>54.4</v>
      </c>
      <c r="R395" t="inlineStr">
        <is>
          <t>Apple Pay</t>
        </is>
      </c>
      <c r="S395" t="inlineStr">
        <is>
          <t>Returning</t>
        </is>
      </c>
    </row>
    <row r="396">
      <c r="A396" t="inlineStr">
        <is>
          <t>T100396</t>
        </is>
      </c>
      <c r="B396" s="10" t="n">
        <v>45597</v>
      </c>
      <c r="C396" t="inlineStr">
        <is>
          <t>S003</t>
        </is>
      </c>
      <c r="D396" t="inlineStr">
        <is>
          <t>Coral Gables</t>
        </is>
      </c>
      <c r="E396" t="inlineStr">
        <is>
          <t>Gabriel Samra</t>
        </is>
      </c>
      <c r="F396" t="inlineStr">
        <is>
          <t>GS004</t>
        </is>
      </c>
      <c r="G396" t="inlineStr">
        <is>
          <t>Blonde Conditioner</t>
        </is>
      </c>
      <c r="H396" t="inlineStr">
        <is>
          <t>Hair Care</t>
        </is>
      </c>
      <c r="I396" t="inlineStr">
        <is>
          <t>Daniel</t>
        </is>
      </c>
      <c r="J396" t="n">
        <v>73</v>
      </c>
      <c r="K396" t="n">
        <v>18.56</v>
      </c>
      <c r="L396" t="n">
        <v>48.39</v>
      </c>
      <c r="M396" t="n">
        <v>0</v>
      </c>
      <c r="N396" t="n">
        <v>3532.47</v>
      </c>
      <c r="O396" t="n">
        <v>1354.88</v>
      </c>
      <c r="P396" t="n">
        <v>2177.59</v>
      </c>
      <c r="Q396" t="n">
        <v>61.64</v>
      </c>
      <c r="R396" t="inlineStr">
        <is>
          <t>Credit Card</t>
        </is>
      </c>
      <c r="S396" t="inlineStr">
        <is>
          <t>New</t>
        </is>
      </c>
    </row>
    <row r="397">
      <c r="A397" t="inlineStr">
        <is>
          <t>T100397</t>
        </is>
      </c>
      <c r="B397" s="10" t="n">
        <v>45627</v>
      </c>
      <c r="C397" t="inlineStr">
        <is>
          <t>S003</t>
        </is>
      </c>
      <c r="D397" t="inlineStr">
        <is>
          <t>Coral Gables</t>
        </is>
      </c>
      <c r="E397" t="inlineStr">
        <is>
          <t>Gabriel Samra</t>
        </is>
      </c>
      <c r="F397" t="inlineStr">
        <is>
          <t>GS004</t>
        </is>
      </c>
      <c r="G397" t="inlineStr">
        <is>
          <t>Blonde Conditioner</t>
        </is>
      </c>
      <c r="H397" t="inlineStr">
        <is>
          <t>Hair Care</t>
        </is>
      </c>
      <c r="I397" t="inlineStr">
        <is>
          <t>Lucas</t>
        </is>
      </c>
      <c r="J397" t="n">
        <v>156</v>
      </c>
      <c r="K397" t="n">
        <v>16.12</v>
      </c>
      <c r="L397" t="n">
        <v>37.57</v>
      </c>
      <c r="M397" t="n">
        <v>0</v>
      </c>
      <c r="N397" t="n">
        <v>5860.92</v>
      </c>
      <c r="O397" t="n">
        <v>2514.72</v>
      </c>
      <c r="P397" t="n">
        <v>3346.2</v>
      </c>
      <c r="Q397" t="n">
        <v>57.09</v>
      </c>
      <c r="R397" t="inlineStr">
        <is>
          <t>Cash</t>
        </is>
      </c>
      <c r="S397" t="inlineStr">
        <is>
          <t>Returning</t>
        </is>
      </c>
    </row>
    <row r="398">
      <c r="A398" t="inlineStr">
        <is>
          <t>T100398</t>
        </is>
      </c>
      <c r="B398" s="10" t="n">
        <v>45658</v>
      </c>
      <c r="C398" t="inlineStr">
        <is>
          <t>S003</t>
        </is>
      </c>
      <c r="D398" t="inlineStr">
        <is>
          <t>Coral Gables</t>
        </is>
      </c>
      <c r="E398" t="inlineStr">
        <is>
          <t>Gabriel Samra</t>
        </is>
      </c>
      <c r="F398" t="inlineStr">
        <is>
          <t>GS004</t>
        </is>
      </c>
      <c r="G398" t="inlineStr">
        <is>
          <t>Blonde Conditioner</t>
        </is>
      </c>
      <c r="H398" t="inlineStr">
        <is>
          <t>Hair Care</t>
        </is>
      </c>
      <c r="I398" t="inlineStr">
        <is>
          <t>Daniel</t>
        </is>
      </c>
      <c r="J398" t="n">
        <v>73</v>
      </c>
      <c r="K398" t="n">
        <v>33</v>
      </c>
      <c r="L398" t="n">
        <v>104.39</v>
      </c>
      <c r="M398" t="n">
        <v>0</v>
      </c>
      <c r="N398" t="n">
        <v>7620.47</v>
      </c>
      <c r="O398" t="n">
        <v>2409</v>
      </c>
      <c r="P398" t="n">
        <v>5211.47</v>
      </c>
      <c r="Q398" t="n">
        <v>68.39</v>
      </c>
      <c r="R398" t="inlineStr">
        <is>
          <t>Credit Card</t>
        </is>
      </c>
      <c r="S398" t="inlineStr">
        <is>
          <t>New</t>
        </is>
      </c>
    </row>
    <row r="399">
      <c r="A399" t="inlineStr">
        <is>
          <t>T100399</t>
        </is>
      </c>
      <c r="B399" s="10" t="n">
        <v>45689</v>
      </c>
      <c r="C399" t="inlineStr">
        <is>
          <t>S003</t>
        </is>
      </c>
      <c r="D399" t="inlineStr">
        <is>
          <t>Coral Gables</t>
        </is>
      </c>
      <c r="E399" t="inlineStr">
        <is>
          <t>Gabriel Samra</t>
        </is>
      </c>
      <c r="F399" t="inlineStr">
        <is>
          <t>GS004</t>
        </is>
      </c>
      <c r="G399" t="inlineStr">
        <is>
          <t>Blonde Conditioner</t>
        </is>
      </c>
      <c r="H399" t="inlineStr">
        <is>
          <t>Hair Care</t>
        </is>
      </c>
      <c r="I399" t="inlineStr">
        <is>
          <t>Olivia</t>
        </is>
      </c>
      <c r="J399" t="n">
        <v>179</v>
      </c>
      <c r="K399" t="n">
        <v>25.01</v>
      </c>
      <c r="L399" t="n">
        <v>69.73</v>
      </c>
      <c r="M399" t="n">
        <v>5</v>
      </c>
      <c r="N399" t="n">
        <v>12481.67</v>
      </c>
      <c r="O399" t="n">
        <v>4476.79</v>
      </c>
      <c r="P399" t="n">
        <v>8004.88</v>
      </c>
      <c r="Q399" t="n">
        <v>64.13</v>
      </c>
      <c r="R399" t="inlineStr">
        <is>
          <t>Credit Card</t>
        </is>
      </c>
      <c r="S399" t="inlineStr">
        <is>
          <t>New</t>
        </is>
      </c>
    </row>
    <row r="400">
      <c r="A400" t="inlineStr">
        <is>
          <t>T100400</t>
        </is>
      </c>
      <c r="B400" s="10" t="n">
        <v>45717</v>
      </c>
      <c r="C400" t="inlineStr">
        <is>
          <t>S003</t>
        </is>
      </c>
      <c r="D400" t="inlineStr">
        <is>
          <t>Coral Gables</t>
        </is>
      </c>
      <c r="E400" t="inlineStr">
        <is>
          <t>Gabriel Samra</t>
        </is>
      </c>
      <c r="F400" t="inlineStr">
        <is>
          <t>GS004</t>
        </is>
      </c>
      <c r="G400" t="inlineStr">
        <is>
          <t>Blonde Conditioner</t>
        </is>
      </c>
      <c r="H400" t="inlineStr">
        <is>
          <t>Hair Care</t>
        </is>
      </c>
      <c r="I400" t="inlineStr">
        <is>
          <t>Daniel</t>
        </is>
      </c>
      <c r="J400" t="n">
        <v>76</v>
      </c>
      <c r="K400" t="n">
        <v>17.68</v>
      </c>
      <c r="L400" t="n">
        <v>49.03</v>
      </c>
      <c r="M400" t="n">
        <v>0</v>
      </c>
      <c r="N400" t="n">
        <v>3726.28</v>
      </c>
      <c r="O400" t="n">
        <v>1343.68</v>
      </c>
      <c r="P400" t="n">
        <v>2382.6</v>
      </c>
      <c r="Q400" t="n">
        <v>63.94</v>
      </c>
      <c r="R400" t="inlineStr">
        <is>
          <t>Cash</t>
        </is>
      </c>
      <c r="S400" t="inlineStr">
        <is>
          <t>Returning</t>
        </is>
      </c>
    </row>
    <row r="401">
      <c r="A401" t="inlineStr">
        <is>
          <t>T100401</t>
        </is>
      </c>
      <c r="B401" s="10" t="n">
        <v>45748</v>
      </c>
      <c r="C401" t="inlineStr">
        <is>
          <t>S003</t>
        </is>
      </c>
      <c r="D401" t="inlineStr">
        <is>
          <t>Coral Gables</t>
        </is>
      </c>
      <c r="E401" t="inlineStr">
        <is>
          <t>Gabriel Samra</t>
        </is>
      </c>
      <c r="F401" t="inlineStr">
        <is>
          <t>GS004</t>
        </is>
      </c>
      <c r="G401" t="inlineStr">
        <is>
          <t>Blonde Conditioner</t>
        </is>
      </c>
      <c r="H401" t="inlineStr">
        <is>
          <t>Hair Care</t>
        </is>
      </c>
      <c r="I401" t="inlineStr">
        <is>
          <t>Lucas</t>
        </is>
      </c>
      <c r="J401" t="n">
        <v>80</v>
      </c>
      <c r="K401" t="n">
        <v>32.89</v>
      </c>
      <c r="L401" t="n">
        <v>111.48</v>
      </c>
      <c r="M401" t="n">
        <v>10</v>
      </c>
      <c r="N401" t="n">
        <v>8918.4</v>
      </c>
      <c r="O401" t="n">
        <v>2631.2</v>
      </c>
      <c r="P401" t="n">
        <v>6287.2</v>
      </c>
      <c r="Q401" t="n">
        <v>70.5</v>
      </c>
      <c r="R401" t="inlineStr">
        <is>
          <t>Cash</t>
        </is>
      </c>
      <c r="S401" t="inlineStr">
        <is>
          <t>New</t>
        </is>
      </c>
    </row>
    <row r="402">
      <c r="A402" t="inlineStr">
        <is>
          <t>T100402</t>
        </is>
      </c>
      <c r="B402" s="10" t="n">
        <v>45778</v>
      </c>
      <c r="C402" t="inlineStr">
        <is>
          <t>S003</t>
        </is>
      </c>
      <c r="D402" t="inlineStr">
        <is>
          <t>Coral Gables</t>
        </is>
      </c>
      <c r="E402" t="inlineStr">
        <is>
          <t>Gabriel Samra</t>
        </is>
      </c>
      <c r="F402" t="inlineStr">
        <is>
          <t>GS004</t>
        </is>
      </c>
      <c r="G402" t="inlineStr">
        <is>
          <t>Blonde Conditioner</t>
        </is>
      </c>
      <c r="H402" t="inlineStr">
        <is>
          <t>Hair Care</t>
        </is>
      </c>
      <c r="I402" t="inlineStr">
        <is>
          <t>Olivia</t>
        </is>
      </c>
      <c r="J402" t="n">
        <v>73</v>
      </c>
      <c r="K402" t="n">
        <v>20.47</v>
      </c>
      <c r="L402" t="n">
        <v>66.93000000000001</v>
      </c>
      <c r="M402" t="n">
        <v>5</v>
      </c>
      <c r="N402" t="n">
        <v>4885.89</v>
      </c>
      <c r="O402" t="n">
        <v>1494.31</v>
      </c>
      <c r="P402" t="n">
        <v>3391.58</v>
      </c>
      <c r="Q402" t="n">
        <v>69.42</v>
      </c>
      <c r="R402" t="inlineStr">
        <is>
          <t>Credit Card</t>
        </is>
      </c>
      <c r="S402" t="inlineStr">
        <is>
          <t>Returning</t>
        </is>
      </c>
    </row>
    <row r="403">
      <c r="A403" t="inlineStr">
        <is>
          <t>T100403</t>
        </is>
      </c>
      <c r="B403" s="10" t="n">
        <v>45809</v>
      </c>
      <c r="C403" t="inlineStr">
        <is>
          <t>S003</t>
        </is>
      </c>
      <c r="D403" t="inlineStr">
        <is>
          <t>Coral Gables</t>
        </is>
      </c>
      <c r="E403" t="inlineStr">
        <is>
          <t>Gabriel Samra</t>
        </is>
      </c>
      <c r="F403" t="inlineStr">
        <is>
          <t>GS004</t>
        </is>
      </c>
      <c r="G403" t="inlineStr">
        <is>
          <t>Blonde Conditioner</t>
        </is>
      </c>
      <c r="H403" t="inlineStr">
        <is>
          <t>Hair Care</t>
        </is>
      </c>
      <c r="I403" t="inlineStr">
        <is>
          <t>Emma</t>
        </is>
      </c>
      <c r="J403" t="n">
        <v>102</v>
      </c>
      <c r="K403" t="n">
        <v>29.25</v>
      </c>
      <c r="L403" t="n">
        <v>60.42</v>
      </c>
      <c r="M403" t="n">
        <v>0</v>
      </c>
      <c r="N403" t="n">
        <v>6162.84</v>
      </c>
      <c r="O403" t="n">
        <v>2983.5</v>
      </c>
      <c r="P403" t="n">
        <v>3179.34</v>
      </c>
      <c r="Q403" t="n">
        <v>51.59</v>
      </c>
      <c r="R403" t="inlineStr">
        <is>
          <t>Apple Pay</t>
        </is>
      </c>
      <c r="S403" t="inlineStr">
        <is>
          <t>New</t>
        </is>
      </c>
    </row>
    <row r="404">
      <c r="A404" t="inlineStr">
        <is>
          <t>T100404</t>
        </is>
      </c>
      <c r="B404" s="10" t="n">
        <v>45292</v>
      </c>
      <c r="C404" t="inlineStr">
        <is>
          <t>S003</t>
        </is>
      </c>
      <c r="D404" t="inlineStr">
        <is>
          <t>Coral Gables</t>
        </is>
      </c>
      <c r="E404" t="inlineStr">
        <is>
          <t>Gabriel Samra</t>
        </is>
      </c>
      <c r="F404" t="inlineStr">
        <is>
          <t>GS005</t>
        </is>
      </c>
      <c r="G404" t="inlineStr">
        <is>
          <t>Hair Oil Serum</t>
        </is>
      </c>
      <c r="H404" t="inlineStr">
        <is>
          <t>Styling</t>
        </is>
      </c>
      <c r="I404" t="inlineStr">
        <is>
          <t>Lucas</t>
        </is>
      </c>
      <c r="J404" t="n">
        <v>130</v>
      </c>
      <c r="K404" t="n">
        <v>29.1</v>
      </c>
      <c r="L404" t="n">
        <v>58.58</v>
      </c>
      <c r="M404" t="n">
        <v>0</v>
      </c>
      <c r="N404" t="n">
        <v>7615.4</v>
      </c>
      <c r="O404" t="n">
        <v>3783</v>
      </c>
      <c r="P404" t="n">
        <v>3832.4</v>
      </c>
      <c r="Q404" t="n">
        <v>50.32</v>
      </c>
      <c r="R404" t="inlineStr">
        <is>
          <t>Credit Card</t>
        </is>
      </c>
      <c r="S404" t="inlineStr">
        <is>
          <t>Returning</t>
        </is>
      </c>
    </row>
    <row r="405">
      <c r="A405" t="inlineStr">
        <is>
          <t>T100405</t>
        </is>
      </c>
      <c r="B405" s="10" t="n">
        <v>45323</v>
      </c>
      <c r="C405" t="inlineStr">
        <is>
          <t>S003</t>
        </is>
      </c>
      <c r="D405" t="inlineStr">
        <is>
          <t>Coral Gables</t>
        </is>
      </c>
      <c r="E405" t="inlineStr">
        <is>
          <t>Gabriel Samra</t>
        </is>
      </c>
      <c r="F405" t="inlineStr">
        <is>
          <t>GS005</t>
        </is>
      </c>
      <c r="G405" t="inlineStr">
        <is>
          <t>Hair Oil Serum</t>
        </is>
      </c>
      <c r="H405" t="inlineStr">
        <is>
          <t>Styling</t>
        </is>
      </c>
      <c r="I405" t="inlineStr">
        <is>
          <t>Lucas</t>
        </is>
      </c>
      <c r="J405" t="n">
        <v>45</v>
      </c>
      <c r="K405" t="n">
        <v>22.57</v>
      </c>
      <c r="L405" t="n">
        <v>57.41</v>
      </c>
      <c r="M405" t="n">
        <v>0</v>
      </c>
      <c r="N405" t="n">
        <v>2583.45</v>
      </c>
      <c r="O405" t="n">
        <v>1015.65</v>
      </c>
      <c r="P405" t="n">
        <v>1567.8</v>
      </c>
      <c r="Q405" t="n">
        <v>60.69</v>
      </c>
      <c r="R405" t="inlineStr">
        <is>
          <t>Cash</t>
        </is>
      </c>
      <c r="S405" t="inlineStr">
        <is>
          <t>New</t>
        </is>
      </c>
    </row>
    <row r="406">
      <c r="A406" t="inlineStr">
        <is>
          <t>T100406</t>
        </is>
      </c>
      <c r="B406" s="10" t="n">
        <v>45352</v>
      </c>
      <c r="C406" t="inlineStr">
        <is>
          <t>S003</t>
        </is>
      </c>
      <c r="D406" t="inlineStr">
        <is>
          <t>Coral Gables</t>
        </is>
      </c>
      <c r="E406" t="inlineStr">
        <is>
          <t>Gabriel Samra</t>
        </is>
      </c>
      <c r="F406" t="inlineStr">
        <is>
          <t>GS005</t>
        </is>
      </c>
      <c r="G406" t="inlineStr">
        <is>
          <t>Hair Oil Serum</t>
        </is>
      </c>
      <c r="H406" t="inlineStr">
        <is>
          <t>Styling</t>
        </is>
      </c>
      <c r="I406" t="inlineStr">
        <is>
          <t>Lucas</t>
        </is>
      </c>
      <c r="J406" t="n">
        <v>57</v>
      </c>
      <c r="K406" t="n">
        <v>27.91</v>
      </c>
      <c r="L406" t="n">
        <v>86.86</v>
      </c>
      <c r="M406" t="n">
        <v>0</v>
      </c>
      <c r="N406" t="n">
        <v>4951.02</v>
      </c>
      <c r="O406" t="n">
        <v>1590.87</v>
      </c>
      <c r="P406" t="n">
        <v>3360.15</v>
      </c>
      <c r="Q406" t="n">
        <v>67.87</v>
      </c>
      <c r="R406" t="inlineStr">
        <is>
          <t>Cash</t>
        </is>
      </c>
      <c r="S406" t="inlineStr">
        <is>
          <t>Returning</t>
        </is>
      </c>
    </row>
    <row r="407">
      <c r="A407" t="inlineStr">
        <is>
          <t>T100407</t>
        </is>
      </c>
      <c r="B407" s="10" t="n">
        <v>45383</v>
      </c>
      <c r="C407" t="inlineStr">
        <is>
          <t>S003</t>
        </is>
      </c>
      <c r="D407" t="inlineStr">
        <is>
          <t>Coral Gables</t>
        </is>
      </c>
      <c r="E407" t="inlineStr">
        <is>
          <t>Gabriel Samra</t>
        </is>
      </c>
      <c r="F407" t="inlineStr">
        <is>
          <t>GS005</t>
        </is>
      </c>
      <c r="G407" t="inlineStr">
        <is>
          <t>Hair Oil Serum</t>
        </is>
      </c>
      <c r="H407" t="inlineStr">
        <is>
          <t>Styling</t>
        </is>
      </c>
      <c r="I407" t="inlineStr">
        <is>
          <t>Lucas</t>
        </is>
      </c>
      <c r="J407" t="n">
        <v>58</v>
      </c>
      <c r="K407" t="n">
        <v>24.72</v>
      </c>
      <c r="L407" t="n">
        <v>57.15</v>
      </c>
      <c r="M407" t="n">
        <v>0</v>
      </c>
      <c r="N407" t="n">
        <v>3314.7</v>
      </c>
      <c r="O407" t="n">
        <v>1433.76</v>
      </c>
      <c r="P407" t="n">
        <v>1880.94</v>
      </c>
      <c r="Q407" t="n">
        <v>56.75</v>
      </c>
      <c r="R407" t="inlineStr">
        <is>
          <t>Credit Card</t>
        </is>
      </c>
      <c r="S407" t="inlineStr">
        <is>
          <t>New</t>
        </is>
      </c>
    </row>
    <row r="408">
      <c r="A408" t="inlineStr">
        <is>
          <t>T100408</t>
        </is>
      </c>
      <c r="B408" s="10" t="n">
        <v>45413</v>
      </c>
      <c r="C408" t="inlineStr">
        <is>
          <t>S003</t>
        </is>
      </c>
      <c r="D408" t="inlineStr">
        <is>
          <t>Coral Gables</t>
        </is>
      </c>
      <c r="E408" t="inlineStr">
        <is>
          <t>Gabriel Samra</t>
        </is>
      </c>
      <c r="F408" t="inlineStr">
        <is>
          <t>GS005</t>
        </is>
      </c>
      <c r="G408" t="inlineStr">
        <is>
          <t>Hair Oil Serum</t>
        </is>
      </c>
      <c r="H408" t="inlineStr">
        <is>
          <t>Styling</t>
        </is>
      </c>
      <c r="I408" t="inlineStr">
        <is>
          <t>Lucas</t>
        </is>
      </c>
      <c r="J408" t="n">
        <v>51</v>
      </c>
      <c r="K408" t="n">
        <v>33.33</v>
      </c>
      <c r="L408" t="n">
        <v>93.8</v>
      </c>
      <c r="M408" t="n">
        <v>0</v>
      </c>
      <c r="N408" t="n">
        <v>4783.8</v>
      </c>
      <c r="O408" t="n">
        <v>1699.83</v>
      </c>
      <c r="P408" t="n">
        <v>3083.97</v>
      </c>
      <c r="Q408" t="n">
        <v>64.47</v>
      </c>
      <c r="R408" t="inlineStr">
        <is>
          <t>Credit Card</t>
        </is>
      </c>
      <c r="S408" t="inlineStr">
        <is>
          <t>Returning</t>
        </is>
      </c>
    </row>
    <row r="409">
      <c r="A409" t="inlineStr">
        <is>
          <t>T100409</t>
        </is>
      </c>
      <c r="B409" s="10" t="n">
        <v>45444</v>
      </c>
      <c r="C409" t="inlineStr">
        <is>
          <t>S003</t>
        </is>
      </c>
      <c r="D409" t="inlineStr">
        <is>
          <t>Coral Gables</t>
        </is>
      </c>
      <c r="E409" t="inlineStr">
        <is>
          <t>Gabriel Samra</t>
        </is>
      </c>
      <c r="F409" t="inlineStr">
        <is>
          <t>GS005</t>
        </is>
      </c>
      <c r="G409" t="inlineStr">
        <is>
          <t>Hair Oil Serum</t>
        </is>
      </c>
      <c r="H409" t="inlineStr">
        <is>
          <t>Styling</t>
        </is>
      </c>
      <c r="I409" t="inlineStr">
        <is>
          <t>Olivia</t>
        </is>
      </c>
      <c r="J409" t="n">
        <v>62</v>
      </c>
      <c r="K409" t="n">
        <v>19.7</v>
      </c>
      <c r="L409" t="n">
        <v>44.87</v>
      </c>
      <c r="M409" t="n">
        <v>0</v>
      </c>
      <c r="N409" t="n">
        <v>2781.94</v>
      </c>
      <c r="O409" t="n">
        <v>1221.4</v>
      </c>
      <c r="P409" t="n">
        <v>1560.54</v>
      </c>
      <c r="Q409" t="n">
        <v>56.1</v>
      </c>
      <c r="R409" t="inlineStr">
        <is>
          <t>Credit Card</t>
        </is>
      </c>
      <c r="S409" t="inlineStr">
        <is>
          <t>Returning</t>
        </is>
      </c>
    </row>
    <row r="410">
      <c r="A410" t="inlineStr">
        <is>
          <t>T100410</t>
        </is>
      </c>
      <c r="B410" s="10" t="n">
        <v>45474</v>
      </c>
      <c r="C410" t="inlineStr">
        <is>
          <t>S003</t>
        </is>
      </c>
      <c r="D410" t="inlineStr">
        <is>
          <t>Coral Gables</t>
        </is>
      </c>
      <c r="E410" t="inlineStr">
        <is>
          <t>Gabriel Samra</t>
        </is>
      </c>
      <c r="F410" t="inlineStr">
        <is>
          <t>GS005</t>
        </is>
      </c>
      <c r="G410" t="inlineStr">
        <is>
          <t>Hair Oil Serum</t>
        </is>
      </c>
      <c r="H410" t="inlineStr">
        <is>
          <t>Styling</t>
        </is>
      </c>
      <c r="I410" t="inlineStr">
        <is>
          <t>Sophia</t>
        </is>
      </c>
      <c r="J410" t="n">
        <v>75</v>
      </c>
      <c r="K410" t="n">
        <v>31.83</v>
      </c>
      <c r="L410" t="n">
        <v>92.70999999999999</v>
      </c>
      <c r="M410" t="n">
        <v>0</v>
      </c>
      <c r="N410" t="n">
        <v>6953.25</v>
      </c>
      <c r="O410" t="n">
        <v>2387.25</v>
      </c>
      <c r="P410" t="n">
        <v>4566</v>
      </c>
      <c r="Q410" t="n">
        <v>65.67</v>
      </c>
      <c r="R410" t="inlineStr">
        <is>
          <t>Apple Pay</t>
        </is>
      </c>
      <c r="S410" t="inlineStr">
        <is>
          <t>New</t>
        </is>
      </c>
    </row>
    <row r="411">
      <c r="A411" t="inlineStr">
        <is>
          <t>T100411</t>
        </is>
      </c>
      <c r="B411" s="10" t="n">
        <v>45505</v>
      </c>
      <c r="C411" t="inlineStr">
        <is>
          <t>S003</t>
        </is>
      </c>
      <c r="D411" t="inlineStr">
        <is>
          <t>Coral Gables</t>
        </is>
      </c>
      <c r="E411" t="inlineStr">
        <is>
          <t>Gabriel Samra</t>
        </is>
      </c>
      <c r="F411" t="inlineStr">
        <is>
          <t>GS005</t>
        </is>
      </c>
      <c r="G411" t="inlineStr">
        <is>
          <t>Hair Oil Serum</t>
        </is>
      </c>
      <c r="H411" t="inlineStr">
        <is>
          <t>Styling</t>
        </is>
      </c>
      <c r="I411" t="inlineStr">
        <is>
          <t>Sophia</t>
        </is>
      </c>
      <c r="J411" t="n">
        <v>77</v>
      </c>
      <c r="K411" t="n">
        <v>27.91</v>
      </c>
      <c r="L411" t="n">
        <v>90.77</v>
      </c>
      <c r="M411" t="n">
        <v>0</v>
      </c>
      <c r="N411" t="n">
        <v>6989.29</v>
      </c>
      <c r="O411" t="n">
        <v>2149.07</v>
      </c>
      <c r="P411" t="n">
        <v>4840.22</v>
      </c>
      <c r="Q411" t="n">
        <v>69.25</v>
      </c>
      <c r="R411" t="inlineStr">
        <is>
          <t>Apple Pay</t>
        </is>
      </c>
      <c r="S411" t="inlineStr">
        <is>
          <t>Returning</t>
        </is>
      </c>
    </row>
    <row r="412">
      <c r="A412" t="inlineStr">
        <is>
          <t>T100412</t>
        </is>
      </c>
      <c r="B412" s="10" t="n">
        <v>45536</v>
      </c>
      <c r="C412" t="inlineStr">
        <is>
          <t>S003</t>
        </is>
      </c>
      <c r="D412" t="inlineStr">
        <is>
          <t>Coral Gables</t>
        </is>
      </c>
      <c r="E412" t="inlineStr">
        <is>
          <t>Gabriel Samra</t>
        </is>
      </c>
      <c r="F412" t="inlineStr">
        <is>
          <t>GS005</t>
        </is>
      </c>
      <c r="G412" t="inlineStr">
        <is>
          <t>Hair Oil Serum</t>
        </is>
      </c>
      <c r="H412" t="inlineStr">
        <is>
          <t>Styling</t>
        </is>
      </c>
      <c r="I412" t="inlineStr">
        <is>
          <t>Daniel</t>
        </is>
      </c>
      <c r="J412" t="n">
        <v>68</v>
      </c>
      <c r="K412" t="n">
        <v>34.61</v>
      </c>
      <c r="L412" t="n">
        <v>119.24</v>
      </c>
      <c r="M412" t="n">
        <v>5</v>
      </c>
      <c r="N412" t="n">
        <v>8108.32</v>
      </c>
      <c r="O412" t="n">
        <v>2353.48</v>
      </c>
      <c r="P412" t="n">
        <v>5754.84</v>
      </c>
      <c r="Q412" t="n">
        <v>70.97</v>
      </c>
      <c r="R412" t="inlineStr">
        <is>
          <t>Cash</t>
        </is>
      </c>
      <c r="S412" t="inlineStr">
        <is>
          <t>Returning</t>
        </is>
      </c>
    </row>
    <row r="413">
      <c r="A413" t="inlineStr">
        <is>
          <t>T100413</t>
        </is>
      </c>
      <c r="B413" s="10" t="n">
        <v>45566</v>
      </c>
      <c r="C413" t="inlineStr">
        <is>
          <t>S003</t>
        </is>
      </c>
      <c r="D413" t="inlineStr">
        <is>
          <t>Coral Gables</t>
        </is>
      </c>
      <c r="E413" t="inlineStr">
        <is>
          <t>Gabriel Samra</t>
        </is>
      </c>
      <c r="F413" t="inlineStr">
        <is>
          <t>GS005</t>
        </is>
      </c>
      <c r="G413" t="inlineStr">
        <is>
          <t>Hair Oil Serum</t>
        </is>
      </c>
      <c r="H413" t="inlineStr">
        <is>
          <t>Styling</t>
        </is>
      </c>
      <c r="I413" t="inlineStr">
        <is>
          <t>Emma</t>
        </is>
      </c>
      <c r="J413" t="n">
        <v>76</v>
      </c>
      <c r="K413" t="n">
        <v>13.05</v>
      </c>
      <c r="L413" t="n">
        <v>44.9</v>
      </c>
      <c r="M413" t="n">
        <v>0</v>
      </c>
      <c r="N413" t="n">
        <v>3412.4</v>
      </c>
      <c r="O413" t="n">
        <v>991.8</v>
      </c>
      <c r="P413" t="n">
        <v>2420.6</v>
      </c>
      <c r="Q413" t="n">
        <v>70.94</v>
      </c>
      <c r="R413" t="inlineStr">
        <is>
          <t>Apple Pay</t>
        </is>
      </c>
      <c r="S413" t="inlineStr">
        <is>
          <t>Returning</t>
        </is>
      </c>
    </row>
    <row r="414">
      <c r="A414" t="inlineStr">
        <is>
          <t>T100414</t>
        </is>
      </c>
      <c r="B414" s="10" t="n">
        <v>45597</v>
      </c>
      <c r="C414" t="inlineStr">
        <is>
          <t>S003</t>
        </is>
      </c>
      <c r="D414" t="inlineStr">
        <is>
          <t>Coral Gables</t>
        </is>
      </c>
      <c r="E414" t="inlineStr">
        <is>
          <t>Gabriel Samra</t>
        </is>
      </c>
      <c r="F414" t="inlineStr">
        <is>
          <t>GS005</t>
        </is>
      </c>
      <c r="G414" t="inlineStr">
        <is>
          <t>Hair Oil Serum</t>
        </is>
      </c>
      <c r="H414" t="inlineStr">
        <is>
          <t>Styling</t>
        </is>
      </c>
      <c r="I414" t="inlineStr">
        <is>
          <t>Olivia</t>
        </is>
      </c>
      <c r="J414" t="n">
        <v>103</v>
      </c>
      <c r="K414" t="n">
        <v>28.54</v>
      </c>
      <c r="L414" t="n">
        <v>69.09</v>
      </c>
      <c r="M414" t="n">
        <v>5</v>
      </c>
      <c r="N414" t="n">
        <v>7116.27</v>
      </c>
      <c r="O414" t="n">
        <v>2939.62</v>
      </c>
      <c r="P414" t="n">
        <v>4176.65</v>
      </c>
      <c r="Q414" t="n">
        <v>58.69</v>
      </c>
      <c r="R414" t="inlineStr">
        <is>
          <t>Apple Pay</t>
        </is>
      </c>
      <c r="S414" t="inlineStr">
        <is>
          <t>New</t>
        </is>
      </c>
    </row>
    <row r="415">
      <c r="A415" t="inlineStr">
        <is>
          <t>T100415</t>
        </is>
      </c>
      <c r="B415" s="10" t="n">
        <v>45627</v>
      </c>
      <c r="C415" t="inlineStr">
        <is>
          <t>S003</t>
        </is>
      </c>
      <c r="D415" t="inlineStr">
        <is>
          <t>Coral Gables</t>
        </is>
      </c>
      <c r="E415" t="inlineStr">
        <is>
          <t>Gabriel Samra</t>
        </is>
      </c>
      <c r="F415" t="inlineStr">
        <is>
          <t>GS005</t>
        </is>
      </c>
      <c r="G415" t="inlineStr">
        <is>
          <t>Hair Oil Serum</t>
        </is>
      </c>
      <c r="H415" t="inlineStr">
        <is>
          <t>Styling</t>
        </is>
      </c>
      <c r="I415" t="inlineStr">
        <is>
          <t>Olivia</t>
        </is>
      </c>
      <c r="J415" t="n">
        <v>125</v>
      </c>
      <c r="K415" t="n">
        <v>23.7</v>
      </c>
      <c r="L415" t="n">
        <v>59.73</v>
      </c>
      <c r="M415" t="n">
        <v>5</v>
      </c>
      <c r="N415" t="n">
        <v>7466.25</v>
      </c>
      <c r="O415" t="n">
        <v>2962.5</v>
      </c>
      <c r="P415" t="n">
        <v>4503.75</v>
      </c>
      <c r="Q415" t="n">
        <v>60.32</v>
      </c>
      <c r="R415" t="inlineStr">
        <is>
          <t>Apple Pay</t>
        </is>
      </c>
      <c r="S415" t="inlineStr">
        <is>
          <t>Returning</t>
        </is>
      </c>
    </row>
    <row r="416">
      <c r="A416" t="inlineStr">
        <is>
          <t>T100416</t>
        </is>
      </c>
      <c r="B416" s="10" t="n">
        <v>45658</v>
      </c>
      <c r="C416" t="inlineStr">
        <is>
          <t>S003</t>
        </is>
      </c>
      <c r="D416" t="inlineStr">
        <is>
          <t>Coral Gables</t>
        </is>
      </c>
      <c r="E416" t="inlineStr">
        <is>
          <t>Gabriel Samra</t>
        </is>
      </c>
      <c r="F416" t="inlineStr">
        <is>
          <t>GS005</t>
        </is>
      </c>
      <c r="G416" t="inlineStr">
        <is>
          <t>Hair Oil Serum</t>
        </is>
      </c>
      <c r="H416" t="inlineStr">
        <is>
          <t>Styling</t>
        </is>
      </c>
      <c r="I416" t="inlineStr">
        <is>
          <t>Daniel</t>
        </is>
      </c>
      <c r="J416" t="n">
        <v>103</v>
      </c>
      <c r="K416" t="n">
        <v>19.51</v>
      </c>
      <c r="L416" t="n">
        <v>64.37</v>
      </c>
      <c r="M416" t="n">
        <v>0</v>
      </c>
      <c r="N416" t="n">
        <v>6630.11</v>
      </c>
      <c r="O416" t="n">
        <v>2009.53</v>
      </c>
      <c r="P416" t="n">
        <v>4620.58</v>
      </c>
      <c r="Q416" t="n">
        <v>69.69</v>
      </c>
      <c r="R416" t="inlineStr">
        <is>
          <t>Cash</t>
        </is>
      </c>
      <c r="S416" t="inlineStr">
        <is>
          <t>New</t>
        </is>
      </c>
    </row>
    <row r="417">
      <c r="A417" t="inlineStr">
        <is>
          <t>T100417</t>
        </is>
      </c>
      <c r="B417" s="10" t="n">
        <v>45689</v>
      </c>
      <c r="C417" t="inlineStr">
        <is>
          <t>S003</t>
        </is>
      </c>
      <c r="D417" t="inlineStr">
        <is>
          <t>Coral Gables</t>
        </is>
      </c>
      <c r="E417" t="inlineStr">
        <is>
          <t>Gabriel Samra</t>
        </is>
      </c>
      <c r="F417" t="inlineStr">
        <is>
          <t>GS005</t>
        </is>
      </c>
      <c r="G417" t="inlineStr">
        <is>
          <t>Hair Oil Serum</t>
        </is>
      </c>
      <c r="H417" t="inlineStr">
        <is>
          <t>Styling</t>
        </is>
      </c>
      <c r="I417" t="inlineStr">
        <is>
          <t>Daniel</t>
        </is>
      </c>
      <c r="J417" t="n">
        <v>108</v>
      </c>
      <c r="K417" t="n">
        <v>21.46</v>
      </c>
      <c r="L417" t="n">
        <v>47.73</v>
      </c>
      <c r="M417" t="n">
        <v>0</v>
      </c>
      <c r="N417" t="n">
        <v>5154.84</v>
      </c>
      <c r="O417" t="n">
        <v>2317.68</v>
      </c>
      <c r="P417" t="n">
        <v>2837.16</v>
      </c>
      <c r="Q417" t="n">
        <v>55.04</v>
      </c>
      <c r="R417" t="inlineStr">
        <is>
          <t>Cash</t>
        </is>
      </c>
      <c r="S417" t="inlineStr">
        <is>
          <t>New</t>
        </is>
      </c>
    </row>
    <row r="418">
      <c r="A418" t="inlineStr">
        <is>
          <t>T100418</t>
        </is>
      </c>
      <c r="B418" s="10" t="n">
        <v>45717</v>
      </c>
      <c r="C418" t="inlineStr">
        <is>
          <t>S003</t>
        </is>
      </c>
      <c r="D418" t="inlineStr">
        <is>
          <t>Coral Gables</t>
        </is>
      </c>
      <c r="E418" t="inlineStr">
        <is>
          <t>Gabriel Samra</t>
        </is>
      </c>
      <c r="F418" t="inlineStr">
        <is>
          <t>GS005</t>
        </is>
      </c>
      <c r="G418" t="inlineStr">
        <is>
          <t>Hair Oil Serum</t>
        </is>
      </c>
      <c r="H418" t="inlineStr">
        <is>
          <t>Styling</t>
        </is>
      </c>
      <c r="I418" t="inlineStr">
        <is>
          <t>Lucas</t>
        </is>
      </c>
      <c r="J418" t="n">
        <v>92</v>
      </c>
      <c r="K418" t="n">
        <v>27</v>
      </c>
      <c r="L418" t="n">
        <v>80.53</v>
      </c>
      <c r="M418" t="n">
        <v>0</v>
      </c>
      <c r="N418" t="n">
        <v>7408.76</v>
      </c>
      <c r="O418" t="n">
        <v>2484</v>
      </c>
      <c r="P418" t="n">
        <v>4924.76</v>
      </c>
      <c r="Q418" t="n">
        <v>66.47</v>
      </c>
      <c r="R418" t="inlineStr">
        <is>
          <t>Apple Pay</t>
        </is>
      </c>
      <c r="S418" t="inlineStr">
        <is>
          <t>Returning</t>
        </is>
      </c>
    </row>
    <row r="419">
      <c r="A419" t="inlineStr">
        <is>
          <t>T100419</t>
        </is>
      </c>
      <c r="B419" s="10" t="n">
        <v>45748</v>
      </c>
      <c r="C419" t="inlineStr">
        <is>
          <t>S003</t>
        </is>
      </c>
      <c r="D419" t="inlineStr">
        <is>
          <t>Coral Gables</t>
        </is>
      </c>
      <c r="E419" t="inlineStr">
        <is>
          <t>Gabriel Samra</t>
        </is>
      </c>
      <c r="F419" t="inlineStr">
        <is>
          <t>GS005</t>
        </is>
      </c>
      <c r="G419" t="inlineStr">
        <is>
          <t>Hair Oil Serum</t>
        </is>
      </c>
      <c r="H419" t="inlineStr">
        <is>
          <t>Styling</t>
        </is>
      </c>
      <c r="I419" t="inlineStr">
        <is>
          <t>Emma</t>
        </is>
      </c>
      <c r="J419" t="n">
        <v>96</v>
      </c>
      <c r="K419" t="n">
        <v>19.68</v>
      </c>
      <c r="L419" t="n">
        <v>52.49</v>
      </c>
      <c r="M419" t="n">
        <v>5</v>
      </c>
      <c r="N419" t="n">
        <v>5039.04</v>
      </c>
      <c r="O419" t="n">
        <v>1889.28</v>
      </c>
      <c r="P419" t="n">
        <v>3149.76</v>
      </c>
      <c r="Q419" t="n">
        <v>62.51</v>
      </c>
      <c r="R419" t="inlineStr">
        <is>
          <t>Cash</t>
        </is>
      </c>
      <c r="S419" t="inlineStr">
        <is>
          <t>Returning</t>
        </is>
      </c>
    </row>
    <row r="420">
      <c r="A420" t="inlineStr">
        <is>
          <t>T100420</t>
        </is>
      </c>
      <c r="B420" s="10" t="n">
        <v>45778</v>
      </c>
      <c r="C420" t="inlineStr">
        <is>
          <t>S003</t>
        </is>
      </c>
      <c r="D420" t="inlineStr">
        <is>
          <t>Coral Gables</t>
        </is>
      </c>
      <c r="E420" t="inlineStr">
        <is>
          <t>Gabriel Samra</t>
        </is>
      </c>
      <c r="F420" t="inlineStr">
        <is>
          <t>GS005</t>
        </is>
      </c>
      <c r="G420" t="inlineStr">
        <is>
          <t>Hair Oil Serum</t>
        </is>
      </c>
      <c r="H420" t="inlineStr">
        <is>
          <t>Styling</t>
        </is>
      </c>
      <c r="I420" t="inlineStr">
        <is>
          <t>Lucas</t>
        </is>
      </c>
      <c r="J420" t="n">
        <v>98</v>
      </c>
      <c r="K420" t="n">
        <v>27.93</v>
      </c>
      <c r="L420" t="n">
        <v>93.88</v>
      </c>
      <c r="M420" t="n">
        <v>0</v>
      </c>
      <c r="N420" t="n">
        <v>9200.24</v>
      </c>
      <c r="O420" t="n">
        <v>2737.14</v>
      </c>
      <c r="P420" t="n">
        <v>6463.1</v>
      </c>
      <c r="Q420" t="n">
        <v>70.25</v>
      </c>
      <c r="R420" t="inlineStr">
        <is>
          <t>Apple Pay</t>
        </is>
      </c>
      <c r="S420" t="inlineStr">
        <is>
          <t>Returning</t>
        </is>
      </c>
    </row>
    <row r="421">
      <c r="A421" t="inlineStr">
        <is>
          <t>T100421</t>
        </is>
      </c>
      <c r="B421" s="10" t="n">
        <v>45809</v>
      </c>
      <c r="C421" t="inlineStr">
        <is>
          <t>S003</t>
        </is>
      </c>
      <c r="D421" t="inlineStr">
        <is>
          <t>Coral Gables</t>
        </is>
      </c>
      <c r="E421" t="inlineStr">
        <is>
          <t>Gabriel Samra</t>
        </is>
      </c>
      <c r="F421" t="inlineStr">
        <is>
          <t>GS005</t>
        </is>
      </c>
      <c r="G421" t="inlineStr">
        <is>
          <t>Hair Oil Serum</t>
        </is>
      </c>
      <c r="H421" t="inlineStr">
        <is>
          <t>Styling</t>
        </is>
      </c>
      <c r="I421" t="inlineStr">
        <is>
          <t>Olivia</t>
        </is>
      </c>
      <c r="J421" t="n">
        <v>291</v>
      </c>
      <c r="K421" t="n">
        <v>13.37</v>
      </c>
      <c r="L421" t="n">
        <v>38.73</v>
      </c>
      <c r="M421" t="n">
        <v>0</v>
      </c>
      <c r="N421" t="n">
        <v>11270.43</v>
      </c>
      <c r="O421" t="n">
        <v>3890.67</v>
      </c>
      <c r="P421" t="n">
        <v>7379.76</v>
      </c>
      <c r="Q421" t="n">
        <v>65.48</v>
      </c>
      <c r="R421" t="inlineStr">
        <is>
          <t>Cash</t>
        </is>
      </c>
      <c r="S421" t="inlineStr">
        <is>
          <t>Returning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selection activeCell="A1" sqref="A1"/>
    </sheetView>
  </sheetViews>
  <sheetFormatPr baseColWidth="10" defaultColWidth="8.83203125" defaultRowHeight="15"/>
  <cols>
    <col width="11.83203125" customWidth="1" min="1" max="1"/>
    <col width="7.5" customWidth="1" min="2" max="2"/>
    <col width="24" customWidth="1" min="3" max="3"/>
    <col width="10" customWidth="1" min="4" max="4"/>
    <col width="7.33203125" customWidth="1" min="5" max="5"/>
    <col width="10.6640625" customWidth="1" min="6" max="6"/>
    <col width="12.33203125" customWidth="1" min="7" max="7"/>
    <col width="14.33203125" customWidth="1" min="8" max="8"/>
    <col width="7.6640625" customWidth="1" min="9" max="9"/>
  </cols>
  <sheetData>
    <row r="1" ht="37.25" customHeight="1">
      <c r="A1" s="1" t="inlineStr">
        <is>
          <t>Product_ID</t>
        </is>
      </c>
      <c r="B1" s="1" t="inlineStr">
        <is>
          <t>Brand</t>
        </is>
      </c>
      <c r="C1" s="1" t="inlineStr">
        <is>
          <t>Product_Name</t>
        </is>
      </c>
      <c r="D1" s="1" t="inlineStr">
        <is>
          <t>Category</t>
        </is>
      </c>
      <c r="E1" s="1" t="inlineStr">
        <is>
          <t>Size</t>
        </is>
      </c>
      <c r="F1" s="7" t="inlineStr">
        <is>
          <t>Unit_Cost</t>
        </is>
      </c>
      <c r="G1" s="7" t="inlineStr">
        <is>
          <t>Retail_Price</t>
        </is>
      </c>
      <c r="H1" s="1" t="inlineStr">
        <is>
          <t>Supplier</t>
        </is>
      </c>
      <c r="I1" s="1" t="inlineStr">
        <is>
          <t>Active</t>
        </is>
      </c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t="inlineStr">
        <is>
          <t>TRU-SHP-001</t>
        </is>
      </c>
      <c r="B2" t="inlineStr">
        <is>
          <t>Truss</t>
        </is>
      </c>
      <c r="C2" t="inlineStr">
        <is>
          <t>Infusion Shampoo</t>
        </is>
      </c>
      <c r="D2" t="inlineStr">
        <is>
          <t>Hair Care</t>
        </is>
      </c>
      <c r="E2" t="inlineStr">
        <is>
          <t>300 ml</t>
        </is>
      </c>
      <c r="F2" t="n">
        <v>14.5</v>
      </c>
      <c r="G2" t="n">
        <v>32</v>
      </c>
      <c r="H2" t="inlineStr">
        <is>
          <t>Truss Professional</t>
        </is>
      </c>
      <c r="I2" t="inlineStr">
        <is>
          <t>Yes</t>
        </is>
      </c>
    </row>
    <row r="3">
      <c r="A3" t="inlineStr">
        <is>
          <t>TRU-CND-002</t>
        </is>
      </c>
      <c r="B3" t="inlineStr">
        <is>
          <t>Truss</t>
        </is>
      </c>
      <c r="C3" t="inlineStr">
        <is>
          <t>Infusion Conditioner</t>
        </is>
      </c>
      <c r="D3" t="inlineStr">
        <is>
          <t>Hair Care</t>
        </is>
      </c>
      <c r="E3" t="inlineStr">
        <is>
          <t>300 ml</t>
        </is>
      </c>
      <c r="F3" t="n">
        <v>15.25</v>
      </c>
      <c r="G3" t="n">
        <v>34</v>
      </c>
      <c r="H3" t="inlineStr">
        <is>
          <t>Truss Professional</t>
        </is>
      </c>
      <c r="I3" t="inlineStr">
        <is>
          <t>Yes</t>
        </is>
      </c>
    </row>
    <row r="4">
      <c r="A4" t="inlineStr">
        <is>
          <t>TRU-MSK-003</t>
        </is>
      </c>
      <c r="B4" t="inlineStr">
        <is>
          <t>Truss</t>
        </is>
      </c>
      <c r="C4" t="inlineStr">
        <is>
          <t>Net Mask</t>
        </is>
      </c>
      <c r="D4" t="inlineStr">
        <is>
          <t>Treatment</t>
        </is>
      </c>
      <c r="E4" t="inlineStr">
        <is>
          <t>180 g</t>
        </is>
      </c>
      <c r="F4" t="n">
        <v>20</v>
      </c>
      <c r="G4" t="n">
        <v>45</v>
      </c>
      <c r="H4" t="inlineStr">
        <is>
          <t>Truss Professional</t>
        </is>
      </c>
      <c r="I4" t="inlineStr">
        <is>
          <t>Yes</t>
        </is>
      </c>
    </row>
    <row r="5">
      <c r="A5" t="inlineStr">
        <is>
          <t>TRU-OIL-004</t>
        </is>
      </c>
      <c r="B5" t="inlineStr">
        <is>
          <t>Truss</t>
        </is>
      </c>
      <c r="C5" t="inlineStr">
        <is>
          <t>Deluxe Prime Oil</t>
        </is>
      </c>
      <c r="D5" t="inlineStr">
        <is>
          <t>Finishing</t>
        </is>
      </c>
      <c r="E5" t="inlineStr">
        <is>
          <t>60 ml</t>
        </is>
      </c>
      <c r="F5" t="n">
        <v>18</v>
      </c>
      <c r="G5" t="n">
        <v>42</v>
      </c>
      <c r="H5" t="inlineStr">
        <is>
          <t>Truss Professional</t>
        </is>
      </c>
      <c r="I5" t="inlineStr">
        <is>
          <t>Yes</t>
        </is>
      </c>
    </row>
    <row r="6">
      <c r="A6" t="inlineStr">
        <is>
          <t>TRU-SER-005</t>
        </is>
      </c>
      <c r="B6" t="inlineStr">
        <is>
          <t>Truss</t>
        </is>
      </c>
      <c r="C6" t="inlineStr">
        <is>
          <t>Night Spa Serum</t>
        </is>
      </c>
      <c r="D6" t="inlineStr">
        <is>
          <t>Treatment</t>
        </is>
      </c>
      <c r="E6" t="inlineStr">
        <is>
          <t>250 ml</t>
        </is>
      </c>
      <c r="F6" t="n">
        <v>19.75</v>
      </c>
      <c r="G6" t="n">
        <v>48</v>
      </c>
      <c r="H6" t="inlineStr">
        <is>
          <t>Truss Professional</t>
        </is>
      </c>
      <c r="I6" t="inlineStr">
        <is>
          <t>Yes</t>
        </is>
      </c>
    </row>
    <row r="7">
      <c r="A7" t="inlineStr">
        <is>
          <t>SUT-FIR-001</t>
        </is>
      </c>
      <c r="B7" t="inlineStr">
        <is>
          <t>Sutra</t>
        </is>
      </c>
      <c r="C7" t="inlineStr">
        <is>
          <t>Mini Flat Iron</t>
        </is>
      </c>
      <c r="D7" t="inlineStr">
        <is>
          <t>Hot Tools</t>
        </is>
      </c>
      <c r="E7" t="inlineStr">
        <is>
          <t>1 inch</t>
        </is>
      </c>
      <c r="F7" t="n">
        <v>38</v>
      </c>
      <c r="G7" t="n">
        <v>89</v>
      </c>
      <c r="H7" t="inlineStr">
        <is>
          <t>Sutra Beauty</t>
        </is>
      </c>
      <c r="I7" t="inlineStr">
        <is>
          <t>Yes</t>
        </is>
      </c>
    </row>
    <row r="8">
      <c r="A8" t="inlineStr">
        <is>
          <t>SUT-CUR-002</t>
        </is>
      </c>
      <c r="B8" t="inlineStr">
        <is>
          <t>Sutra</t>
        </is>
      </c>
      <c r="C8" t="inlineStr">
        <is>
          <t>Clipless Curling Iron</t>
        </is>
      </c>
      <c r="D8" t="inlineStr">
        <is>
          <t>Hot Tools</t>
        </is>
      </c>
      <c r="E8" t="inlineStr">
        <is>
          <t>1.25 inch</t>
        </is>
      </c>
      <c r="F8" t="n">
        <v>42</v>
      </c>
      <c r="G8" t="n">
        <v>99</v>
      </c>
      <c r="H8" t="inlineStr">
        <is>
          <t>Sutra Beauty</t>
        </is>
      </c>
      <c r="I8" t="inlineStr">
        <is>
          <t>Yes</t>
        </is>
      </c>
    </row>
    <row r="9">
      <c r="A9" t="inlineStr">
        <is>
          <t>SUT-BLO-003</t>
        </is>
      </c>
      <c r="B9" t="inlineStr">
        <is>
          <t>Sutra</t>
        </is>
      </c>
      <c r="C9" t="inlineStr">
        <is>
          <t>Blowout Brush</t>
        </is>
      </c>
      <c r="D9" t="inlineStr">
        <is>
          <t>Hot Tools</t>
        </is>
      </c>
      <c r="E9" t="inlineStr">
        <is>
          <t>One Size</t>
        </is>
      </c>
      <c r="F9" t="n">
        <v>48</v>
      </c>
      <c r="G9" t="n">
        <v>119</v>
      </c>
      <c r="H9" t="inlineStr">
        <is>
          <t>Sutra Beauty</t>
        </is>
      </c>
      <c r="I9" t="inlineStr">
        <is>
          <t>Yes</t>
        </is>
      </c>
    </row>
    <row r="10">
      <c r="A10" t="inlineStr">
        <is>
          <t>SUT-DRY-004</t>
        </is>
      </c>
      <c r="B10" t="inlineStr">
        <is>
          <t>Sutra</t>
        </is>
      </c>
      <c r="C10" t="inlineStr">
        <is>
          <t>Professional Hair Dryer</t>
        </is>
      </c>
      <c r="D10" t="inlineStr">
        <is>
          <t>Hot Tools</t>
        </is>
      </c>
      <c r="E10" t="inlineStr">
        <is>
          <t>1875W</t>
        </is>
      </c>
      <c r="F10" t="n">
        <v>62</v>
      </c>
      <c r="G10" t="n">
        <v>149</v>
      </c>
      <c r="H10" t="inlineStr">
        <is>
          <t>Sutra Beauty</t>
        </is>
      </c>
      <c r="I10" t="inlineStr">
        <is>
          <t>Yes</t>
        </is>
      </c>
    </row>
    <row r="11">
      <c r="A11" t="inlineStr">
        <is>
          <t>SUT-HSP-005</t>
        </is>
      </c>
      <c r="B11" t="inlineStr">
        <is>
          <t>Sutra</t>
        </is>
      </c>
      <c r="C11" t="inlineStr">
        <is>
          <t>Heat Spray</t>
        </is>
      </c>
      <c r="D11" t="inlineStr">
        <is>
          <t>Styling</t>
        </is>
      </c>
      <c r="E11" t="inlineStr">
        <is>
          <t>150 ml</t>
        </is>
      </c>
      <c r="F11" t="n">
        <v>9.5</v>
      </c>
      <c r="G11" t="n">
        <v>24</v>
      </c>
      <c r="H11" t="inlineStr">
        <is>
          <t>Sutra Beauty</t>
        </is>
      </c>
      <c r="I11" t="inlineStr">
        <is>
          <t>Yes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10" defaultColWidth="8.83203125" defaultRowHeight="15"/>
  <cols>
    <col width="20.83203125" customWidth="1" min="1" max="1"/>
    <col width="9.6640625" customWidth="1" min="2" max="2"/>
    <col width="28" customWidth="1" min="3" max="3"/>
    <col width="7.5" customWidth="1" min="4" max="4"/>
    <col width="11.83203125" customWidth="1" min="5" max="5"/>
    <col width="24" customWidth="1" min="6" max="6"/>
    <col width="10" customWidth="1" min="7" max="7"/>
    <col width="15" customWidth="1" min="8" max="8"/>
    <col width="15.1640625" customWidth="1" min="9" max="9"/>
    <col width="11.5" customWidth="1" min="10" max="10"/>
    <col width="14.33203125" customWidth="1" min="11" max="12"/>
    <col width="26.33203125" customWidth="1" min="13" max="13"/>
    <col width="13" customWidth="1" min="14" max="14"/>
    <col width="19" customWidth="1" min="15" max="15"/>
  </cols>
  <sheetData>
    <row r="1" ht="37.25" customHeight="1">
      <c r="A1" s="1" t="inlineStr">
        <is>
          <t>Inventory_ID</t>
        </is>
      </c>
      <c r="B1" s="1" t="inlineStr">
        <is>
          <t>Store_ID</t>
        </is>
      </c>
      <c r="C1" s="1" t="inlineStr">
        <is>
          <t>Salon_Location</t>
        </is>
      </c>
      <c r="D1" s="1" t="inlineStr">
        <is>
          <t>Brand</t>
        </is>
      </c>
      <c r="E1" s="1" t="inlineStr">
        <is>
          <t>Product_ID</t>
        </is>
      </c>
      <c r="F1" s="1" t="inlineStr">
        <is>
          <t>Product_Name</t>
        </is>
      </c>
      <c r="G1" s="1" t="inlineStr">
        <is>
          <t>Category</t>
        </is>
      </c>
      <c r="H1" s="1" t="inlineStr">
        <is>
          <t>Opening_Stock</t>
        </is>
      </c>
      <c r="I1" s="1" t="inlineStr">
        <is>
          <t>Units_Received</t>
        </is>
      </c>
      <c r="J1" s="1" t="inlineStr">
        <is>
          <t>Units_Sold</t>
        </is>
      </c>
      <c r="K1" s="1" t="inlineStr">
        <is>
          <t>Current_Stock</t>
        </is>
      </c>
      <c r="L1" s="1" t="inlineStr">
        <is>
          <t>Reorder_Point</t>
        </is>
      </c>
      <c r="M1" s="1" t="inlineStr">
        <is>
          <t>Recommended_Reorder_Qty</t>
        </is>
      </c>
      <c r="N1" s="1" t="inlineStr">
        <is>
          <t>Stock_Status</t>
        </is>
      </c>
      <c r="O1" s="8" t="inlineStr">
        <is>
          <t>Last_Received_Date</t>
        </is>
      </c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t="inlineStr">
        <is>
          <t>INV-CG-001-TRU-SHP-001</t>
        </is>
      </c>
      <c r="B2" t="inlineStr">
        <is>
          <t>CG-001</t>
        </is>
      </c>
      <c r="C2" t="inlineStr">
        <is>
          <t>Gabriel Samra Coral Gables</t>
        </is>
      </c>
      <c r="D2" t="inlineStr">
        <is>
          <t>Truss</t>
        </is>
      </c>
      <c r="E2" t="inlineStr">
        <is>
          <t>TRU-SHP-001</t>
        </is>
      </c>
      <c r="F2" t="inlineStr">
        <is>
          <t>Infusion Shampoo</t>
        </is>
      </c>
      <c r="G2" t="inlineStr">
        <is>
          <t>Hair Care</t>
        </is>
      </c>
      <c r="H2" t="n">
        <v>24</v>
      </c>
      <c r="I2" t="n">
        <v>26</v>
      </c>
      <c r="J2">
        <f>SUMIFS(Sales_Transactions!$J:$J,Sales_Transactions!$C:$C,B2,Sales_Transactions!$F:$F,E2)</f>
        <v/>
      </c>
      <c r="K2">
        <f>H2+I2-J2</f>
        <v/>
      </c>
      <c r="L2" t="n">
        <v>8</v>
      </c>
      <c r="M2" t="n">
        <v>20</v>
      </c>
      <c r="N2">
        <f>IF(K2&lt;=L2,"Reorder Needed",IF(K2&lt;=L2*1.5,"Watch","Healthy"))</f>
        <v/>
      </c>
      <c r="O2" t="n">
        <v>46128</v>
      </c>
    </row>
    <row r="3">
      <c r="A3" t="inlineStr">
        <is>
          <t>INV-CG-001-TRU-CND-002</t>
        </is>
      </c>
      <c r="B3" t="inlineStr">
        <is>
          <t>CG-001</t>
        </is>
      </c>
      <c r="C3" t="inlineStr">
        <is>
          <t>Gabriel Samra Coral Gables</t>
        </is>
      </c>
      <c r="D3" t="inlineStr">
        <is>
          <t>Truss</t>
        </is>
      </c>
      <c r="E3" t="inlineStr">
        <is>
          <t>TRU-CND-002</t>
        </is>
      </c>
      <c r="F3" t="inlineStr">
        <is>
          <t>Infusion Conditioner</t>
        </is>
      </c>
      <c r="G3" t="inlineStr">
        <is>
          <t>Hair Care</t>
        </is>
      </c>
      <c r="H3" t="n">
        <v>29</v>
      </c>
      <c r="I3" t="n">
        <v>19</v>
      </c>
      <c r="J3">
        <f>SUMIFS(Sales_Transactions!$J:$J,Sales_Transactions!$C:$C,B3,Sales_Transactions!$F:$F,E3)</f>
        <v/>
      </c>
      <c r="K3">
        <f>H3+I3-J3</f>
        <v/>
      </c>
      <c r="L3" t="n">
        <v>8</v>
      </c>
      <c r="M3" t="n">
        <v>20</v>
      </c>
      <c r="N3">
        <f>IF(K3&lt;=L3,"Reorder Needed",IF(K3&lt;=L3*1.5,"Watch","Healthy"))</f>
        <v/>
      </c>
      <c r="O3" t="n">
        <v>46121</v>
      </c>
    </row>
    <row r="4">
      <c r="A4" t="inlineStr">
        <is>
          <t>INV-CG-001-TRU-MSK-003</t>
        </is>
      </c>
      <c r="B4" t="inlineStr">
        <is>
          <t>CG-001</t>
        </is>
      </c>
      <c r="C4" t="inlineStr">
        <is>
          <t>Gabriel Samra Coral Gables</t>
        </is>
      </c>
      <c r="D4" t="inlineStr">
        <is>
          <t>Truss</t>
        </is>
      </c>
      <c r="E4" t="inlineStr">
        <is>
          <t>TRU-MSK-003</t>
        </is>
      </c>
      <c r="F4" t="inlineStr">
        <is>
          <t>Net Mask</t>
        </is>
      </c>
      <c r="G4" t="inlineStr">
        <is>
          <t>Treatment</t>
        </is>
      </c>
      <c r="H4" t="n">
        <v>16</v>
      </c>
      <c r="I4" t="n">
        <v>29</v>
      </c>
      <c r="J4">
        <f>SUMIFS(Sales_Transactions!$J:$J,Sales_Transactions!$C:$C,B4,Sales_Transactions!$F:$F,E4)</f>
        <v/>
      </c>
      <c r="K4">
        <f>H4+I4-J4</f>
        <v/>
      </c>
      <c r="L4" t="n">
        <v>8</v>
      </c>
      <c r="M4" t="n">
        <v>20</v>
      </c>
      <c r="N4">
        <f>IF(K4&lt;=L4,"Reorder Needed",IF(K4&lt;=L4*1.5,"Watch","Healthy"))</f>
        <v/>
      </c>
      <c r="O4" t="n">
        <v>46146</v>
      </c>
    </row>
    <row r="5">
      <c r="A5" t="inlineStr">
        <is>
          <t>INV-CG-001-TRU-OIL-004</t>
        </is>
      </c>
      <c r="B5" t="inlineStr">
        <is>
          <t>CG-001</t>
        </is>
      </c>
      <c r="C5" t="inlineStr">
        <is>
          <t>Gabriel Samra Coral Gables</t>
        </is>
      </c>
      <c r="D5" t="inlineStr">
        <is>
          <t>Truss</t>
        </is>
      </c>
      <c r="E5" t="inlineStr">
        <is>
          <t>TRU-OIL-004</t>
        </is>
      </c>
      <c r="F5" t="inlineStr">
        <is>
          <t>Deluxe Prime Oil</t>
        </is>
      </c>
      <c r="G5" t="inlineStr">
        <is>
          <t>Finishing</t>
        </is>
      </c>
      <c r="H5" t="n">
        <v>21</v>
      </c>
      <c r="I5" t="n">
        <v>18</v>
      </c>
      <c r="J5">
        <f>SUMIFS(Sales_Transactions!$J:$J,Sales_Transactions!$C:$C,B5,Sales_Transactions!$F:$F,E5)</f>
        <v/>
      </c>
      <c r="K5">
        <f>H5+I5-J5</f>
        <v/>
      </c>
      <c r="L5" t="n">
        <v>8</v>
      </c>
      <c r="M5" t="n">
        <v>20</v>
      </c>
      <c r="N5">
        <f>IF(K5&lt;=L5,"Reorder Needed",IF(K5&lt;=L5*1.5,"Watch","Healthy"))</f>
        <v/>
      </c>
      <c r="O5" t="n">
        <v>46032</v>
      </c>
    </row>
    <row r="6">
      <c r="A6" t="inlineStr">
        <is>
          <t>INV-CG-001-TRU-SER-005</t>
        </is>
      </c>
      <c r="B6" t="inlineStr">
        <is>
          <t>CG-001</t>
        </is>
      </c>
      <c r="C6" t="inlineStr">
        <is>
          <t>Gabriel Samra Coral Gables</t>
        </is>
      </c>
      <c r="D6" t="inlineStr">
        <is>
          <t>Truss</t>
        </is>
      </c>
      <c r="E6" t="inlineStr">
        <is>
          <t>TRU-SER-005</t>
        </is>
      </c>
      <c r="F6" t="inlineStr">
        <is>
          <t>Night Spa Serum</t>
        </is>
      </c>
      <c r="G6" t="inlineStr">
        <is>
          <t>Treatment</t>
        </is>
      </c>
      <c r="H6" t="n">
        <v>31</v>
      </c>
      <c r="I6" t="n">
        <v>26</v>
      </c>
      <c r="J6">
        <f>SUMIFS(Sales_Transactions!$J:$J,Sales_Transactions!$C:$C,B6,Sales_Transactions!$F:$F,E6)</f>
        <v/>
      </c>
      <c r="K6">
        <f>H6+I6-J6</f>
        <v/>
      </c>
      <c r="L6" t="n">
        <v>8</v>
      </c>
      <c r="M6" t="n">
        <v>20</v>
      </c>
      <c r="N6">
        <f>IF(K6&lt;=L6,"Reorder Needed",IF(K6&lt;=L6*1.5,"Watch","Healthy"))</f>
        <v/>
      </c>
      <c r="O6" t="n">
        <v>46158</v>
      </c>
    </row>
    <row r="7">
      <c r="A7" t="inlineStr">
        <is>
          <t>INV-CG-001-SUT-FIR-001</t>
        </is>
      </c>
      <c r="B7" t="inlineStr">
        <is>
          <t>CG-001</t>
        </is>
      </c>
      <c r="C7" t="inlineStr">
        <is>
          <t>Gabriel Samra Coral Gables</t>
        </is>
      </c>
      <c r="D7" t="inlineStr">
        <is>
          <t>Sutra</t>
        </is>
      </c>
      <c r="E7" t="inlineStr">
        <is>
          <t>SUT-FIR-001</t>
        </is>
      </c>
      <c r="F7" t="inlineStr">
        <is>
          <t>Mini Flat Iron</t>
        </is>
      </c>
      <c r="G7" t="inlineStr">
        <is>
          <t>Hot Tools</t>
        </is>
      </c>
      <c r="H7" t="n">
        <v>11</v>
      </c>
      <c r="I7" t="n">
        <v>6</v>
      </c>
      <c r="J7">
        <f>SUMIFS(Sales_Transactions!$J:$J,Sales_Transactions!$C:$C,B7,Sales_Transactions!$F:$F,E7)</f>
        <v/>
      </c>
      <c r="K7">
        <f>H7+I7-J7</f>
        <v/>
      </c>
      <c r="L7" t="n">
        <v>3</v>
      </c>
      <c r="M7" t="n">
        <v>6</v>
      </c>
      <c r="N7">
        <f>IF(K7&lt;=L7,"Reorder Needed",IF(K7&lt;=L7*1.5,"Watch","Healthy"))</f>
        <v/>
      </c>
      <c r="O7" t="n">
        <v>46030</v>
      </c>
    </row>
    <row r="8">
      <c r="A8" t="inlineStr">
        <is>
          <t>INV-CG-001-SUT-CUR-002</t>
        </is>
      </c>
      <c r="B8" t="inlineStr">
        <is>
          <t>CG-001</t>
        </is>
      </c>
      <c r="C8" t="inlineStr">
        <is>
          <t>Gabriel Samra Coral Gables</t>
        </is>
      </c>
      <c r="D8" t="inlineStr">
        <is>
          <t>Sutra</t>
        </is>
      </c>
      <c r="E8" t="inlineStr">
        <is>
          <t>SUT-CUR-002</t>
        </is>
      </c>
      <c r="F8" t="inlineStr">
        <is>
          <t>Clipless Curling Iron</t>
        </is>
      </c>
      <c r="G8" t="inlineStr">
        <is>
          <t>Hot Tools</t>
        </is>
      </c>
      <c r="H8" t="n">
        <v>9</v>
      </c>
      <c r="I8" t="n">
        <v>2</v>
      </c>
      <c r="J8">
        <f>SUMIFS(Sales_Transactions!$J:$J,Sales_Transactions!$C:$C,B8,Sales_Transactions!$F:$F,E8)</f>
        <v/>
      </c>
      <c r="K8">
        <f>H8+I8-J8</f>
        <v/>
      </c>
      <c r="L8" t="n">
        <v>3</v>
      </c>
      <c r="M8" t="n">
        <v>6</v>
      </c>
      <c r="N8">
        <f>IF(K8&lt;=L8,"Reorder Needed",IF(K8&lt;=L8*1.5,"Watch","Healthy"))</f>
        <v/>
      </c>
      <c r="O8" t="n">
        <v>46029</v>
      </c>
    </row>
    <row r="9">
      <c r="A9" t="inlineStr">
        <is>
          <t>INV-CG-001-SUT-BLO-003</t>
        </is>
      </c>
      <c r="B9" t="inlineStr">
        <is>
          <t>CG-001</t>
        </is>
      </c>
      <c r="C9" t="inlineStr">
        <is>
          <t>Gabriel Samra Coral Gables</t>
        </is>
      </c>
      <c r="D9" t="inlineStr">
        <is>
          <t>Sutra</t>
        </is>
      </c>
      <c r="E9" t="inlineStr">
        <is>
          <t>SUT-BLO-003</t>
        </is>
      </c>
      <c r="F9" t="inlineStr">
        <is>
          <t>Blowout Brush</t>
        </is>
      </c>
      <c r="G9" t="inlineStr">
        <is>
          <t>Hot Tools</t>
        </is>
      </c>
      <c r="H9" t="n">
        <v>7</v>
      </c>
      <c r="I9" t="n">
        <v>5</v>
      </c>
      <c r="J9">
        <f>SUMIFS(Sales_Transactions!$J:$J,Sales_Transactions!$C:$C,B9,Sales_Transactions!$F:$F,E9)</f>
        <v/>
      </c>
      <c r="K9">
        <f>H9+I9-J9</f>
        <v/>
      </c>
      <c r="L9" t="n">
        <v>3</v>
      </c>
      <c r="M9" t="n">
        <v>6</v>
      </c>
      <c r="N9">
        <f>IF(K9&lt;=L9,"Reorder Needed",IF(K9&lt;=L9*1.5,"Watch","Healthy"))</f>
        <v/>
      </c>
      <c r="O9" t="n">
        <v>46062</v>
      </c>
    </row>
    <row r="10">
      <c r="A10" t="inlineStr">
        <is>
          <t>INV-CG-001-SUT-DRY-004</t>
        </is>
      </c>
      <c r="B10" t="inlineStr">
        <is>
          <t>CG-001</t>
        </is>
      </c>
      <c r="C10" t="inlineStr">
        <is>
          <t>Gabriel Samra Coral Gables</t>
        </is>
      </c>
      <c r="D10" t="inlineStr">
        <is>
          <t>Sutra</t>
        </is>
      </c>
      <c r="E10" t="inlineStr">
        <is>
          <t>SUT-DRY-004</t>
        </is>
      </c>
      <c r="F10" t="inlineStr">
        <is>
          <t>Professional Hair Dryer</t>
        </is>
      </c>
      <c r="G10" t="inlineStr">
        <is>
          <t>Hot Tools</t>
        </is>
      </c>
      <c r="H10" t="n">
        <v>7</v>
      </c>
      <c r="I10" t="n">
        <v>7</v>
      </c>
      <c r="J10">
        <f>SUMIFS(Sales_Transactions!$J:$J,Sales_Transactions!$C:$C,B10,Sales_Transactions!$F:$F,E10)</f>
        <v/>
      </c>
      <c r="K10">
        <f>H10+I10-J10</f>
        <v/>
      </c>
      <c r="L10" t="n">
        <v>3</v>
      </c>
      <c r="M10" t="n">
        <v>6</v>
      </c>
      <c r="N10">
        <f>IF(K10&lt;=L10,"Reorder Needed",IF(K10&lt;=L10*1.5,"Watch","Healthy"))</f>
        <v/>
      </c>
      <c r="O10" t="n">
        <v>46023</v>
      </c>
    </row>
    <row r="11">
      <c r="A11" t="inlineStr">
        <is>
          <t>INV-CG-001-SUT-HSP-005</t>
        </is>
      </c>
      <c r="B11" t="inlineStr">
        <is>
          <t>CG-001</t>
        </is>
      </c>
      <c r="C11" t="inlineStr">
        <is>
          <t>Gabriel Samra Coral Gables</t>
        </is>
      </c>
      <c r="D11" t="inlineStr">
        <is>
          <t>Sutra</t>
        </is>
      </c>
      <c r="E11" t="inlineStr">
        <is>
          <t>SUT-HSP-005</t>
        </is>
      </c>
      <c r="F11" t="inlineStr">
        <is>
          <t>Heat Spray</t>
        </is>
      </c>
      <c r="G11" t="inlineStr">
        <is>
          <t>Styling</t>
        </is>
      </c>
      <c r="H11" t="n">
        <v>10</v>
      </c>
      <c r="I11" t="n">
        <v>8</v>
      </c>
      <c r="J11">
        <f>SUMIFS(Sales_Transactions!$J:$J,Sales_Transactions!$C:$C,B11,Sales_Transactions!$F:$F,E11)</f>
        <v/>
      </c>
      <c r="K11">
        <f>H11+I11-J11</f>
        <v/>
      </c>
      <c r="L11" t="n">
        <v>3</v>
      </c>
      <c r="M11" t="n">
        <v>6</v>
      </c>
      <c r="N11">
        <f>IF(K11&lt;=L11,"Reorder Needed",IF(K11&lt;=L11*1.5,"Watch","Healthy"))</f>
        <v/>
      </c>
      <c r="O11" t="n">
        <v>46058</v>
      </c>
    </row>
    <row r="12">
      <c r="A12" t="inlineStr">
        <is>
          <t>INV-DR-001-TRU-SHP-001</t>
        </is>
      </c>
      <c r="B12" t="inlineStr">
        <is>
          <t>DR-001</t>
        </is>
      </c>
      <c r="C12" t="inlineStr">
        <is>
          <t>Gabriel Samra Doral</t>
        </is>
      </c>
      <c r="D12" t="inlineStr">
        <is>
          <t>Truss</t>
        </is>
      </c>
      <c r="E12" t="inlineStr">
        <is>
          <t>TRU-SHP-001</t>
        </is>
      </c>
      <c r="F12" t="inlineStr">
        <is>
          <t>Infusion Shampoo</t>
        </is>
      </c>
      <c r="G12" t="inlineStr">
        <is>
          <t>Hair Care</t>
        </is>
      </c>
      <c r="H12" t="n">
        <v>22</v>
      </c>
      <c r="I12" t="n">
        <v>22</v>
      </c>
      <c r="J12">
        <f>SUMIFS(Sales_Transactions!$J:$J,Sales_Transactions!$C:$C,B12,Sales_Transactions!$F:$F,E12)</f>
        <v/>
      </c>
      <c r="K12">
        <f>H12+I12-J12</f>
        <v/>
      </c>
      <c r="L12" t="n">
        <v>8</v>
      </c>
      <c r="M12" t="n">
        <v>20</v>
      </c>
      <c r="N12">
        <f>IF(K12&lt;=L12,"Reorder Needed",IF(K12&lt;=L12*1.5,"Watch","Healthy"))</f>
        <v/>
      </c>
      <c r="O12" t="n">
        <v>46070</v>
      </c>
    </row>
    <row r="13">
      <c r="A13" t="inlineStr">
        <is>
          <t>INV-DR-001-TRU-CND-002</t>
        </is>
      </c>
      <c r="B13" t="inlineStr">
        <is>
          <t>DR-001</t>
        </is>
      </c>
      <c r="C13" t="inlineStr">
        <is>
          <t>Gabriel Samra Doral</t>
        </is>
      </c>
      <c r="D13" t="inlineStr">
        <is>
          <t>Truss</t>
        </is>
      </c>
      <c r="E13" t="inlineStr">
        <is>
          <t>TRU-CND-002</t>
        </is>
      </c>
      <c r="F13" t="inlineStr">
        <is>
          <t>Infusion Conditioner</t>
        </is>
      </c>
      <c r="G13" t="inlineStr">
        <is>
          <t>Hair Care</t>
        </is>
      </c>
      <c r="H13" t="n">
        <v>27</v>
      </c>
      <c r="I13" t="n">
        <v>26</v>
      </c>
      <c r="J13">
        <f>SUMIFS(Sales_Transactions!$J:$J,Sales_Transactions!$C:$C,B13,Sales_Transactions!$F:$F,E13)</f>
        <v/>
      </c>
      <c r="K13">
        <f>H13+I13-J13</f>
        <v/>
      </c>
      <c r="L13" t="n">
        <v>8</v>
      </c>
      <c r="M13" t="n">
        <v>20</v>
      </c>
      <c r="N13">
        <f>IF(K13&lt;=L13,"Reorder Needed",IF(K13&lt;=L13*1.5,"Watch","Healthy"))</f>
        <v/>
      </c>
      <c r="O13" t="n">
        <v>46084</v>
      </c>
    </row>
    <row r="14">
      <c r="A14" t="inlineStr">
        <is>
          <t>INV-DR-001-TRU-MSK-003</t>
        </is>
      </c>
      <c r="B14" t="inlineStr">
        <is>
          <t>DR-001</t>
        </is>
      </c>
      <c r="C14" t="inlineStr">
        <is>
          <t>Gabriel Samra Doral</t>
        </is>
      </c>
      <c r="D14" t="inlineStr">
        <is>
          <t>Truss</t>
        </is>
      </c>
      <c r="E14" t="inlineStr">
        <is>
          <t>TRU-MSK-003</t>
        </is>
      </c>
      <c r="F14" t="inlineStr">
        <is>
          <t>Net Mask</t>
        </is>
      </c>
      <c r="G14" t="inlineStr">
        <is>
          <t>Treatment</t>
        </is>
      </c>
      <c r="H14" t="n">
        <v>22</v>
      </c>
      <c r="I14" t="n">
        <v>28</v>
      </c>
      <c r="J14">
        <f>SUMIFS(Sales_Transactions!$J:$J,Sales_Transactions!$C:$C,B14,Sales_Transactions!$F:$F,E14)</f>
        <v/>
      </c>
      <c r="K14">
        <f>H14+I14-J14</f>
        <v/>
      </c>
      <c r="L14" t="n">
        <v>8</v>
      </c>
      <c r="M14" t="n">
        <v>20</v>
      </c>
      <c r="N14">
        <f>IF(K14&lt;=L14,"Reorder Needed",IF(K14&lt;=L14*1.5,"Watch","Healthy"))</f>
        <v/>
      </c>
      <c r="O14" t="n">
        <v>46036</v>
      </c>
    </row>
    <row r="15">
      <c r="A15" t="inlineStr">
        <is>
          <t>INV-DR-001-TRU-OIL-004</t>
        </is>
      </c>
      <c r="B15" t="inlineStr">
        <is>
          <t>DR-001</t>
        </is>
      </c>
      <c r="C15" t="inlineStr">
        <is>
          <t>Gabriel Samra Doral</t>
        </is>
      </c>
      <c r="D15" t="inlineStr">
        <is>
          <t>Truss</t>
        </is>
      </c>
      <c r="E15" t="inlineStr">
        <is>
          <t>TRU-OIL-004</t>
        </is>
      </c>
      <c r="F15" t="inlineStr">
        <is>
          <t>Deluxe Prime Oil</t>
        </is>
      </c>
      <c r="G15" t="inlineStr">
        <is>
          <t>Finishing</t>
        </is>
      </c>
      <c r="H15" t="n">
        <v>10</v>
      </c>
      <c r="I15" t="n">
        <v>19</v>
      </c>
      <c r="J15">
        <f>SUMIFS(Sales_Transactions!$J:$J,Sales_Transactions!$C:$C,B15,Sales_Transactions!$F:$F,E15)</f>
        <v/>
      </c>
      <c r="K15">
        <f>H15+I15-J15</f>
        <v/>
      </c>
      <c r="L15" t="n">
        <v>8</v>
      </c>
      <c r="M15" t="n">
        <v>20</v>
      </c>
      <c r="N15">
        <f>IF(K15&lt;=L15,"Reorder Needed",IF(K15&lt;=L15*1.5,"Watch","Healthy"))</f>
        <v/>
      </c>
      <c r="O15" t="n">
        <v>46033</v>
      </c>
    </row>
    <row r="16">
      <c r="A16" t="inlineStr">
        <is>
          <t>INV-DR-001-TRU-SER-005</t>
        </is>
      </c>
      <c r="B16" t="inlineStr">
        <is>
          <t>DR-001</t>
        </is>
      </c>
      <c r="C16" t="inlineStr">
        <is>
          <t>Gabriel Samra Doral</t>
        </is>
      </c>
      <c r="D16" t="inlineStr">
        <is>
          <t>Truss</t>
        </is>
      </c>
      <c r="E16" t="inlineStr">
        <is>
          <t>TRU-SER-005</t>
        </is>
      </c>
      <c r="F16" t="inlineStr">
        <is>
          <t>Night Spa Serum</t>
        </is>
      </c>
      <c r="G16" t="inlineStr">
        <is>
          <t>Treatment</t>
        </is>
      </c>
      <c r="H16" t="n">
        <v>28</v>
      </c>
      <c r="I16" t="n">
        <v>18</v>
      </c>
      <c r="J16">
        <f>SUMIFS(Sales_Transactions!$J:$J,Sales_Transactions!$C:$C,B16,Sales_Transactions!$F:$F,E16)</f>
        <v/>
      </c>
      <c r="K16">
        <f>H16+I16-J16</f>
        <v/>
      </c>
      <c r="L16" t="n">
        <v>8</v>
      </c>
      <c r="M16" t="n">
        <v>20</v>
      </c>
      <c r="N16">
        <f>IF(K16&lt;=L16,"Reorder Needed",IF(K16&lt;=L16*1.5,"Watch","Healthy"))</f>
        <v/>
      </c>
      <c r="O16" t="n">
        <v>46155</v>
      </c>
    </row>
    <row r="17">
      <c r="A17" t="inlineStr">
        <is>
          <t>INV-DR-001-SUT-FIR-001</t>
        </is>
      </c>
      <c r="B17" t="inlineStr">
        <is>
          <t>DR-001</t>
        </is>
      </c>
      <c r="C17" t="inlineStr">
        <is>
          <t>Gabriel Samra Doral</t>
        </is>
      </c>
      <c r="D17" t="inlineStr">
        <is>
          <t>Sutra</t>
        </is>
      </c>
      <c r="E17" t="inlineStr">
        <is>
          <t>SUT-FIR-001</t>
        </is>
      </c>
      <c r="F17" t="inlineStr">
        <is>
          <t>Mini Flat Iron</t>
        </is>
      </c>
      <c r="G17" t="inlineStr">
        <is>
          <t>Hot Tools</t>
        </is>
      </c>
      <c r="H17" t="n">
        <v>9</v>
      </c>
      <c r="I17" t="n">
        <v>6</v>
      </c>
      <c r="J17">
        <f>SUMIFS(Sales_Transactions!$J:$J,Sales_Transactions!$C:$C,B17,Sales_Transactions!$F:$F,E17)</f>
        <v/>
      </c>
      <c r="K17">
        <f>H17+I17-J17</f>
        <v/>
      </c>
      <c r="L17" t="n">
        <v>3</v>
      </c>
      <c r="M17" t="n">
        <v>6</v>
      </c>
      <c r="N17">
        <f>IF(K17&lt;=L17,"Reorder Needed",IF(K17&lt;=L17*1.5,"Watch","Healthy"))</f>
        <v/>
      </c>
      <c r="O17" t="n">
        <v>46035</v>
      </c>
    </row>
    <row r="18">
      <c r="A18" t="inlineStr">
        <is>
          <t>INV-DR-001-SUT-CUR-002</t>
        </is>
      </c>
      <c r="B18" t="inlineStr">
        <is>
          <t>DR-001</t>
        </is>
      </c>
      <c r="C18" t="inlineStr">
        <is>
          <t>Gabriel Samra Doral</t>
        </is>
      </c>
      <c r="D18" t="inlineStr">
        <is>
          <t>Sutra</t>
        </is>
      </c>
      <c r="E18" t="inlineStr">
        <is>
          <t>SUT-CUR-002</t>
        </is>
      </c>
      <c r="F18" t="inlineStr">
        <is>
          <t>Clipless Curling Iron</t>
        </is>
      </c>
      <c r="G18" t="inlineStr">
        <is>
          <t>Hot Tools</t>
        </is>
      </c>
      <c r="H18" t="n">
        <v>3</v>
      </c>
      <c r="I18" t="n">
        <v>7</v>
      </c>
      <c r="J18">
        <f>SUMIFS(Sales_Transactions!$J:$J,Sales_Transactions!$C:$C,B18,Sales_Transactions!$F:$F,E18)</f>
        <v/>
      </c>
      <c r="K18">
        <f>H18+I18-J18</f>
        <v/>
      </c>
      <c r="L18" t="n">
        <v>3</v>
      </c>
      <c r="M18" t="n">
        <v>6</v>
      </c>
      <c r="N18">
        <f>IF(K18&lt;=L18,"Reorder Needed",IF(K18&lt;=L18*1.5,"Watch","Healthy"))</f>
        <v/>
      </c>
      <c r="O18" t="n">
        <v>46073</v>
      </c>
    </row>
    <row r="19">
      <c r="A19" t="inlineStr">
        <is>
          <t>INV-DR-001-SUT-BLO-003</t>
        </is>
      </c>
      <c r="B19" t="inlineStr">
        <is>
          <t>DR-001</t>
        </is>
      </c>
      <c r="C19" t="inlineStr">
        <is>
          <t>Gabriel Samra Doral</t>
        </is>
      </c>
      <c r="D19" t="inlineStr">
        <is>
          <t>Sutra</t>
        </is>
      </c>
      <c r="E19" t="inlineStr">
        <is>
          <t>SUT-BLO-003</t>
        </is>
      </c>
      <c r="F19" t="inlineStr">
        <is>
          <t>Blowout Brush</t>
        </is>
      </c>
      <c r="G19" t="inlineStr">
        <is>
          <t>Hot Tools</t>
        </is>
      </c>
      <c r="H19" t="n">
        <v>10</v>
      </c>
      <c r="I19" t="n">
        <v>7</v>
      </c>
      <c r="J19">
        <f>SUMIFS(Sales_Transactions!$J:$J,Sales_Transactions!$C:$C,B19,Sales_Transactions!$F:$F,E19)</f>
        <v/>
      </c>
      <c r="K19">
        <f>H19+I19-J19</f>
        <v/>
      </c>
      <c r="L19" t="n">
        <v>3</v>
      </c>
      <c r="M19" t="n">
        <v>6</v>
      </c>
      <c r="N19">
        <f>IF(K19&lt;=L19,"Reorder Needed",IF(K19&lt;=L19*1.5,"Watch","Healthy"))</f>
        <v/>
      </c>
      <c r="O19" t="n">
        <v>46036</v>
      </c>
    </row>
    <row r="20">
      <c r="A20" t="inlineStr">
        <is>
          <t>INV-DR-001-SUT-DRY-004</t>
        </is>
      </c>
      <c r="B20" t="inlineStr">
        <is>
          <t>DR-001</t>
        </is>
      </c>
      <c r="C20" t="inlineStr">
        <is>
          <t>Gabriel Samra Doral</t>
        </is>
      </c>
      <c r="D20" t="inlineStr">
        <is>
          <t>Sutra</t>
        </is>
      </c>
      <c r="E20" t="inlineStr">
        <is>
          <t>SUT-DRY-004</t>
        </is>
      </c>
      <c r="F20" t="inlineStr">
        <is>
          <t>Professional Hair Dryer</t>
        </is>
      </c>
      <c r="G20" t="inlineStr">
        <is>
          <t>Hot Tools</t>
        </is>
      </c>
      <c r="H20" t="n">
        <v>4</v>
      </c>
      <c r="I20" t="n">
        <v>5</v>
      </c>
      <c r="J20">
        <f>SUMIFS(Sales_Transactions!$J:$J,Sales_Transactions!$C:$C,B20,Sales_Transactions!$F:$F,E20)</f>
        <v/>
      </c>
      <c r="K20">
        <f>H20+I20-J20</f>
        <v/>
      </c>
      <c r="L20" t="n">
        <v>3</v>
      </c>
      <c r="M20" t="n">
        <v>6</v>
      </c>
      <c r="N20">
        <f>IF(K20&lt;=L20,"Reorder Needed",IF(K20&lt;=L20*1.5,"Watch","Healthy"))</f>
        <v/>
      </c>
      <c r="O20" t="n">
        <v>46131</v>
      </c>
    </row>
    <row r="21">
      <c r="A21" t="inlineStr">
        <is>
          <t>INV-DR-001-SUT-HSP-005</t>
        </is>
      </c>
      <c r="B21" t="inlineStr">
        <is>
          <t>DR-001</t>
        </is>
      </c>
      <c r="C21" t="inlineStr">
        <is>
          <t>Gabriel Samra Doral</t>
        </is>
      </c>
      <c r="D21" t="inlineStr">
        <is>
          <t>Sutra</t>
        </is>
      </c>
      <c r="E21" t="inlineStr">
        <is>
          <t>SUT-HSP-005</t>
        </is>
      </c>
      <c r="F21" t="inlineStr">
        <is>
          <t>Heat Spray</t>
        </is>
      </c>
      <c r="G21" t="inlineStr">
        <is>
          <t>Styling</t>
        </is>
      </c>
      <c r="H21" t="n">
        <v>9</v>
      </c>
      <c r="I21" t="n">
        <v>10</v>
      </c>
      <c r="J21">
        <f>SUMIFS(Sales_Transactions!$J:$J,Sales_Transactions!$C:$C,B21,Sales_Transactions!$F:$F,E21)</f>
        <v/>
      </c>
      <c r="K21">
        <f>H21+I21-J21</f>
        <v/>
      </c>
      <c r="L21" t="n">
        <v>3</v>
      </c>
      <c r="M21" t="n">
        <v>6</v>
      </c>
      <c r="N21">
        <f>IF(K21&lt;=L21,"Reorder Needed",IF(K21&lt;=L21*1.5,"Watch","Healthy"))</f>
        <v/>
      </c>
      <c r="O21" t="n">
        <v>46035</v>
      </c>
    </row>
  </sheetData>
  <conditionalFormatting sqref="N2:N100">
    <cfRule type="expression" priority="1" dxfId="2">
      <formula>$N2="Reorder Needed"</formula>
    </cfRule>
    <cfRule type="expression" priority="2" dxfId="1">
      <formula>$N2="Watch"</formula>
    </cfRule>
    <cfRule type="expression" priority="3" dxfId="0">
      <formula>$N2="Healthy"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selection activeCell="A1" sqref="A1"/>
    </sheetView>
  </sheetViews>
  <sheetFormatPr baseColWidth="10" defaultColWidth="8.83203125" defaultRowHeight="15"/>
  <cols>
    <col width="9.6640625" customWidth="1" min="1" max="1"/>
    <col width="21.6640625" customWidth="1" min="2" max="2"/>
    <col width="10" customWidth="1" min="3" max="3"/>
    <col width="11.5" customWidth="1" min="4" max="4"/>
    <col width="12" customWidth="1" min="5" max="5"/>
    <col width="42" customWidth="1" min="6" max="6"/>
  </cols>
  <sheetData>
    <row r="1" ht="37.25" customHeight="1">
      <c r="A1" s="1" t="inlineStr">
        <is>
          <t>Store_ID</t>
        </is>
      </c>
      <c r="B1" s="1" t="inlineStr">
        <is>
          <t>Salon_Location</t>
        </is>
      </c>
      <c r="C1" s="1" t="inlineStr">
        <is>
          <t>City</t>
        </is>
      </c>
      <c r="D1" s="1" t="inlineStr">
        <is>
          <t>Channel</t>
        </is>
      </c>
      <c r="E1" s="1" t="inlineStr">
        <is>
          <t>Manager</t>
        </is>
      </c>
      <c r="F1" s="1" t="inlineStr">
        <is>
          <t>Notes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t="inlineStr">
        <is>
          <t>CG-001</t>
        </is>
      </c>
      <c r="B2" t="inlineStr">
        <is>
          <t>Gabriel Samra Coral Gables</t>
        </is>
      </c>
      <c r="C2" t="inlineStr">
        <is>
          <t>Coral Gables</t>
        </is>
      </c>
      <c r="D2" t="inlineStr">
        <is>
          <t>In-Salon Retail</t>
        </is>
      </c>
      <c r="E2" t="inlineStr">
        <is>
          <t>Salon Manager</t>
        </is>
      </c>
      <c r="F2" t="inlineStr">
        <is>
          <t>Retail sales at front desk and stylist recommendation</t>
        </is>
      </c>
    </row>
    <row r="3">
      <c r="A3" t="inlineStr">
        <is>
          <t>DR-001</t>
        </is>
      </c>
      <c r="B3" t="inlineStr">
        <is>
          <t>Gabriel Samra Doral</t>
        </is>
      </c>
      <c r="C3" t="inlineStr">
        <is>
          <t>Doral</t>
        </is>
      </c>
      <c r="D3" t="inlineStr">
        <is>
          <t>In-Salon Retail</t>
        </is>
      </c>
      <c r="E3" t="inlineStr">
        <is>
          <t>Salon Manager</t>
        </is>
      </c>
      <c r="F3" t="inlineStr">
        <is>
          <t>Retail sales at front desk and stylist recommendation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selection activeCell="A1" sqref="A1"/>
    </sheetView>
  </sheetViews>
  <sheetFormatPr baseColWidth="10" defaultColWidth="8.83203125" defaultRowHeight="15"/>
  <cols>
    <col width="14.83203125" customWidth="1" min="1" max="1"/>
    <col width="80" customWidth="1" min="2" max="2"/>
  </cols>
  <sheetData>
    <row r="1" ht="37.25" customHeight="1">
      <c r="A1" s="9" t="inlineStr">
        <is>
          <t>Field</t>
        </is>
      </c>
      <c r="B1" s="9" t="inlineStr">
        <is>
          <t>Description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t="inlineStr">
        <is>
          <t>Purpose</t>
        </is>
      </c>
      <c r="B2" t="inlineStr">
        <is>
          <t>Mock raw data to simulate Gabriel Samra in-salon retail sales for Sutra and Truss products.</t>
        </is>
      </c>
    </row>
    <row r="3">
      <c r="A3" t="inlineStr">
        <is>
          <t>Locations Included</t>
        </is>
      </c>
      <c r="B3" t="inlineStr">
        <is>
          <t>Coral Gables and Doral only. No online sales included.</t>
        </is>
      </c>
    </row>
    <row r="4">
      <c r="A4" t="inlineStr">
        <is>
          <t>Use Case</t>
        </is>
      </c>
      <c r="B4" t="inlineStr">
        <is>
          <t>Streamlit can read these tabs to calculate sales, margin, inventory risk, product performance, and reorder alerts.</t>
        </is>
      </c>
    </row>
    <row r="5">
      <c r="A5" t="inlineStr">
        <is>
          <t>Data Status</t>
        </is>
      </c>
      <c r="B5" t="inlineStr">
        <is>
          <t>Fictitious sample data until real POS / inventory exports are provided.</t>
        </is>
      </c>
    </row>
    <row r="6">
      <c r="A6" t="inlineStr">
        <is>
          <t>Manual Inputs</t>
        </is>
      </c>
      <c r="B6" t="inlineStr">
        <is>
          <t>Unit cost, retail price, opening stock, received units, reorder point, and recommended reorder quantity are assumed.</t>
        </is>
      </c>
    </row>
    <row r="7">
      <c r="A7" t="inlineStr">
        <is>
          <t>API/External Data</t>
        </is>
      </c>
      <c r="B7" t="inlineStr">
        <is>
          <t>No live API data is included in this file. It is structured to be replaced later by real exports.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2026-05-28T14:31:41Z</dcterms:created>
  <dcterms:modified xmlns:dcterms="http://purl.org/dc/terms/" xmlns:xsi="http://www.w3.org/2001/XMLSchema-instance" xsi:type="dcterms:W3CDTF">2026-05-28T14:31:41Z</dcterms:modified>
  <cp:lastModifiedBy>Ritta De El Barche</cp:lastModifiedBy>
</cp:coreProperties>
</file>