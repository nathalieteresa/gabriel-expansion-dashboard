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419f6e493e412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ales_Transactions" sheetId="1" r:id="R6845622fee894f92"/>
    <x:sheet xmlns:r="http://schemas.openxmlformats.org/officeDocument/2006/relationships" name="Products" sheetId="2" r:id="Rbb3abf4a08e348da"/>
    <x:sheet xmlns:r="http://schemas.openxmlformats.org/officeDocument/2006/relationships" name="Inventory" sheetId="3" r:id="R03d204c0d33b431f"/>
    <x:sheet xmlns:r="http://schemas.openxmlformats.org/officeDocument/2006/relationships" name="Stores" sheetId="4" r:id="R475871079f654c92"/>
    <x:sheet xmlns:r="http://schemas.openxmlformats.org/officeDocument/2006/relationships" name="Assumptions" sheetId="5" r:id="Rbade478dd7ed460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164" formatCode="yyyy\-mm\-dd"/>
    <x:numFmt numFmtId="165" formatCode="\$#,##0.00"/>
    <x:numFmt numFmtId="166" formatCode="0.0%"/>
    <x:numFmt numFmtId="167" formatCode="yyyy-mm-dd h:mm:ss"/>
    <x:numFmt numFmtId="200" formatCode="0%"/>
    <x:numFmt numFmtId="201" formatCode="$0.00"/>
    <x:numFmt numFmtId="202" formatCode="0"/>
  </x:numFmts>
  <x:fonts count="2">
    <x:font>
      <x:sz val="11"/>
      <x:name val="Carlito"/>
    </x:font>
    <x:font>
      <x:b/>
      <x:sz val="11"/>
      <x:color rgb="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C6A052"/>
      </x:patternFill>
    </x:fill>
    <x:fill>
      <x:patternFill patternType="solid">
        <x:fgColor rgb="111111"/>
      </x:patternFill>
    </x:fill>
    <x:fill>
      <x:patternFill patternType="solid">
        <x:fgColor rgb="C6A052"/>
      </x:patternFill>
    </x:fill>
  </x:fills>
  <x:borders count="2">
    <x:border/>
    <x:border/>
  </x:borders>
  <x:cellStyleXfs count="1">
    <x:xf numFmtId="0" fontId="0" fillId="0" borderId="0"/>
  </x:cellStyleXfs>
  <x:cellXfs count="34">
    <x:xf numFmtId="0" fontId="0" fillId="0" borderId="0" xfId="0"/>
    <x:xf numFmtId="0" fontId="1" fillId="2" borderId="0" xfId="0" applyAlignment="1">
      <x:alignment horizontal="center" vertical="center" wrapText="1"/>
    </x:xf>
    <x:xf numFmtId="0" fontId="1" fillId="2" borderId="0" xfId="0" applyAlignment="1">
      <x:alignment horizontal="center" vertical="center"/>
    </x:xf>
    <x:xf numFmtId="164" fontId="1" fillId="2" borderId="0" xfId="0" applyAlignment="1">
      <x:alignment horizontal="center" vertical="center"/>
    </x:xf>
    <x:xf numFmtId="165" fontId="1" fillId="2" borderId="0" xfId="0" applyAlignment="1">
      <x:alignment horizontal="center" vertical="center"/>
    </x:xf>
    <x:xf numFmtId="9" fontId="1" fillId="2" borderId="0" xfId="0" applyAlignment="1">
      <x:alignment horizontal="center" vertical="center"/>
    </x:xf>
    <x:xf numFmtId="166" fontId="1" fillId="2" borderId="0" xfId="0" applyAlignment="1">
      <x:alignment horizontal="center" vertical="center"/>
    </x:xf>
    <x:xf numFmtId="165" fontId="1" fillId="2" borderId="0" xfId="0" applyAlignment="1">
      <x:alignment horizontal="center" vertical="center" wrapText="1"/>
    </x:xf>
    <x:xf numFmtId="164" fontId="1" fillId="2" borderId="0" xfId="0" applyAlignment="1">
      <x:alignment horizontal="center" vertical="center" wrapText="1"/>
    </x:xf>
    <x:xf numFmtId="0" fontId="1" fillId="3" borderId="0" xfId="0" applyAlignment="1">
      <x:alignment horizontal="center" vertical="center" wrapText="1"/>
    </x:xf>
    <x:xf numFmtId="167" fontId="0" fillId="0" borderId="0" xfId="0"/>
    <x:xf numFmtId="0" fontId="0" fillId="0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 applyAlignment="1">
      <x:alignment horizontal="center" vertical="center"/>
    </x:xf>
    <x:xf numFmtId="164" fontId="1" fillId="2" borderId="1" xfId="0" applyNumberFormat="1" applyFont="1" applyFill="1" applyBorder="1" applyAlignment="1">
      <x:alignment horizontal="center" vertical="center"/>
    </x:xf>
    <x:xf numFmtId="165" fontId="1" fillId="2" borderId="1" xfId="0" applyNumberFormat="1" applyFont="1" applyFill="1" applyBorder="1" applyAlignment="1">
      <x:alignment horizontal="center" vertical="center"/>
    </x:xf>
    <x:xf numFmtId="9" fontId="1" fillId="2" borderId="1" xfId="0" applyNumberFormat="1" applyFont="1" applyFill="1" applyBorder="1" applyAlignment="1">
      <x:alignment horizontal="center" vertical="center"/>
    </x:xf>
    <x:xf numFmtId="166" fontId="1" fillId="2" borderId="1" xfId="0" applyNumberFormat="1" applyFont="1" applyFill="1" applyBorder="1" applyAlignment="1">
      <x:alignment horizontal="center" vertical="center"/>
    </x:xf>
    <x:xf numFmtId="165" fontId="1" fillId="2" borderId="1" xfId="0" applyNumberFormat="1" applyFont="1" applyFill="1" applyBorder="1" applyAlignment="1">
      <x:alignment horizontal="center" vertical="center" wrapText="1"/>
    </x:xf>
    <x:xf numFmtId="164" fontId="1" fillId="2" borderId="1" xfId="0" applyNumberFormat="1" applyFont="1" applyFill="1" applyBorder="1" applyAlignment="1">
      <x:alignment horizontal="center" vertical="center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167" fontId="0" fillId="0" borderId="1" xfId="0" applyNumberFormat="1" applyFont="1" applyFill="1" applyBorder="1"/>
    <x:xf numFmtId="0" fontId="1" fillId="4" borderId="0" xfId="0" applyNumberFormat="1" applyFont="1" applyFill="1" applyBorder="1" applyAlignment="1">
      <x:alignment horizontal="center" vertical="center" wrapText="1"/>
    </x:xf>
    <x:xf numFmtId="164" fontId="1" fillId="4" borderId="0" xfId="0" applyNumberFormat="1" applyFont="1" applyFill="1" applyBorder="1" applyAlignment="1">
      <x:alignment horizontal="center" vertic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164" fontId="1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  <x:dxfs count="5"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7F1D1D"/>
      </x:font>
      <x:fill>
        <x:patternFill>
          <x:bgColor rgb="FFFECACA"/>
        </x:patternFill>
      </x:fill>
    </x:dxf>
    <x:dxf>
      <x:font>
        <x:b/>
        <x:color rgb="991B1B"/>
      </x:font>
      <x:fill>
        <x:patternFill patternType="solid">
          <x:bgColor rgb="FECACA"/>
        </x:patternFill>
      </x:fill>
    </x:dxf>
    <x:dxf>
      <x:font>
        <x:b/>
        <x:color rgb="166534"/>
      </x:font>
      <x:fill>
        <x:patternFill patternType="solid">
          <x:bgColor rgb="DCFCE7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1ba1c6de51b4c27" /><Relationship Type="http://schemas.openxmlformats.org/officeDocument/2006/relationships/theme" Target="/xl/theme/theme1.xml" Id="R8948d8b2ff1d417d" /><Relationship Type="http://schemas.openxmlformats.org/officeDocument/2006/relationships/sharedStrings" Target="/xl/sharedStrings.xml" Id="Rdc18238ba55244ed" /><Relationship Type="http://schemas.openxmlformats.org/officeDocument/2006/relationships/worksheet" Target="/xl/worksheets/sheet1.xml" Id="R6845622fee894f92" /><Relationship Type="http://schemas.openxmlformats.org/officeDocument/2006/relationships/worksheet" Target="/xl/worksheets/sheet2.xml" Id="Rbb3abf4a08e348da" /><Relationship Type="http://schemas.openxmlformats.org/officeDocument/2006/relationships/worksheet" Target="/xl/worksheets/sheet3.xml" Id="R03d204c0d33b431f" /><Relationship Type="http://schemas.openxmlformats.org/officeDocument/2006/relationships/worksheet" Target="/xl/worksheets/sheet4.xml" Id="R475871079f654c92" /><Relationship Type="http://schemas.openxmlformats.org/officeDocument/2006/relationships/worksheet" Target="/xl/worksheets/sheet5.xml" Id="Rbade478dd7ed4604" /></Relationships>
</file>

<file path=xl/tables/table1.xml><?xml version="1.0" encoding="utf-8"?>
<x:table xmlns:x="http://schemas.openxmlformats.org/spreadsheetml/2006/main" id="1" name="SalesTransactionsTable" displayName="SalesTransactionsTable" ref="A1:S151" headerRowCount="1">
  <x:autoFilter ref="A1:S151"/>
  <x:tableColumns count="19">
    <x:tableColumn id="1" name="Transaction_ID"/>
    <x:tableColumn id="2" name="Date"/>
    <x:tableColumn id="3" name="Store_ID"/>
    <x:tableColumn id="4" name="Salon_Location"/>
    <x:tableColumn id="5" name="Brand"/>
    <x:tableColumn id="6" name="Product_ID"/>
    <x:tableColumn id="7" name="Product_Name"/>
    <x:tableColumn id="8" name="Category"/>
    <x:tableColumn id="9" name="Stylist"/>
    <x:tableColumn id="10" name="Units_Sold"/>
    <x:tableColumn id="11" name="Unit_Cost"/>
    <x:tableColumn id="12" name="Retail_Price"/>
    <x:tableColumn id="13" name="Discount_%"/>
    <x:tableColumn id="14" name="Net_Sales"/>
    <x:tableColumn id="15" name="COGS"/>
    <x:tableColumn id="16" name="Gross_Profit"/>
    <x:tableColumn id="17" name="Gross_Margin_%"/>
    <x:tableColumn id="18" name="Payment_Method"/>
    <x:tableColumn id="19" name="Customer_Type"/>
  </x:tableColumns>
  <x:tableStyleInfo name="TableStyleMedium2" showRowStripes="1"/>
</x:table>
</file>

<file path=xl/tables/table2.xml><?xml version="1.0" encoding="utf-8"?>
<x:table xmlns:x="http://schemas.openxmlformats.org/spreadsheetml/2006/main" id="2" name="ProductsTable" displayName="ProductsTable" ref="A1:I11" headerRowCount="1">
  <x:tableColumns count="9">
    <x:tableColumn id="1" name="Product_ID"/>
    <x:tableColumn id="2" name="Brand"/>
    <x:tableColumn id="3" name="Product_Name"/>
    <x:tableColumn id="4" name="Category"/>
    <x:tableColumn id="5" name="Size"/>
    <x:tableColumn id="6" name="Unit_Cost"/>
    <x:tableColumn id="7" name="Retail_Price"/>
    <x:tableColumn id="8" name="Supplier"/>
    <x:tableColumn id="9" name="Active"/>
  </x:tableColumns>
  <x:tableStyleInfo name="TableStyleMedium2" showRowStripes="1"/>
</x:table>
</file>

<file path=xl/tables/table3.xml><?xml version="1.0" encoding="utf-8"?>
<x:table xmlns:x="http://schemas.openxmlformats.org/spreadsheetml/2006/main" id="3" name="InventoryTable" displayName="InventoryTable" ref="A1:O21" headerRowCount="1">
  <x:tableColumns count="15">
    <x:tableColumn id="1" name="Inventory_ID"/>
    <x:tableColumn id="2" name="Store_ID"/>
    <x:tableColumn id="3" name="Salon_Location"/>
    <x:tableColumn id="4" name="Brand"/>
    <x:tableColumn id="5" name="Product_ID"/>
    <x:tableColumn id="6" name="Product_Name"/>
    <x:tableColumn id="7" name="Category"/>
    <x:tableColumn id="8" name="Opening_Stock"/>
    <x:tableColumn id="9" name="Units_Received"/>
    <x:tableColumn id="10" name="Units_Sold"/>
    <x:tableColumn id="11" name="Current_Stock"/>
    <x:tableColumn id="12" name="Reorder_Point"/>
    <x:tableColumn id="13" name="Recommended_Reorder_Qty"/>
    <x:tableColumn id="14" name="Stock_Status"/>
    <x:tableColumn id="15" name="Last_Received_Date"/>
  </x:tableColumns>
  <x:tableStyleInfo name="TableStyleMedium2" showRowStripes="1"/>
</x:table>
</file>

<file path=xl/tables/table4.xml><?xml version="1.0" encoding="utf-8"?>
<x:table xmlns:x="http://schemas.openxmlformats.org/spreadsheetml/2006/main" id="4" name="StoresTable" displayName="StoresTable" ref="A1:F3" headerRowCount="1">
  <x:tableColumns count="6">
    <x:tableColumn id="1" name="Store_ID"/>
    <x:tableColumn id="2" name="Salon_Location"/>
    <x:tableColumn id="3" name="City"/>
    <x:tableColumn id="4" name="Channel"/>
    <x:tableColumn id="5" name="Manager"/>
    <x:tableColumn id="6" name="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024fc53e7d042f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4e9829e056b4e5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2eeef8eba6e41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51138471dd48493f" /></Relationships>
</file>

<file path=xl/worksheets/sheet1.xml><?xml version="1.0" encoding="utf-8"?>
<x:worksheet xmlns:x="http://schemas.openxmlformats.org/spreadsheetml/2006/main">
  <x:sheetFormatPr baseColWidth="10" defaultColWidth="8.83203125" defaultRowHeight="15"/>
  <x:cols>
    <x:col min="1" max="1" width="14.83203125" customWidth="1"/>
    <x:col min="2" max="2" width="6.5" customWidth="1"/>
    <x:col min="3" max="3" width="9.6640625" customWidth="1"/>
    <x:col min="4" max="4" width="28" customWidth="1"/>
    <x:col min="5" max="5" width="7.5" customWidth="1"/>
    <x:col min="6" max="6" width="11.83203125" customWidth="1"/>
    <x:col min="7" max="7" width="24" customWidth="1"/>
    <x:col min="8" max="8" width="12.6640625" customWidth="1"/>
    <x:col min="9" max="9" width="14.33203125" customWidth="1"/>
    <x:col min="10" max="10" width="11.5" customWidth="1"/>
    <x:col min="11" max="11" width="10.6640625" customWidth="1"/>
    <x:col min="12" max="12" width="12.33203125" customWidth="1"/>
    <x:col min="13" max="13" width="13.83203125" customWidth="1"/>
    <x:col min="14" max="14" width="10.83203125" customWidth="1"/>
    <x:col min="15" max="15" width="13.1640625" customWidth="1"/>
    <x:col min="16" max="16" width="18.6640625" customWidth="1"/>
    <x:col min="17" max="17" width="22.83203125" customWidth="1"/>
    <x:col min="18" max="18" width="24.33203125" customWidth="1"/>
    <x:col min="19" max="19" width="31.5" customWidth="1"/>
  </x:cols>
  <x:sheetData>
    <x:row r="1" ht="37.25" customHeight="1">
      <x:c r="A1" s="2" t="inlineStr">
        <x:is>
          <x:t xml:space="preserve">Transaction_ID</x:t>
        </x:is>
      </x:c>
      <x:c r="B1" s="3" t="inlineStr">
        <x:is>
          <x:t xml:space="preserve">Date</x:t>
        </x:is>
      </x:c>
      <x:c r="C1" s="2" t="inlineStr">
        <x:is>
          <x:t xml:space="preserve">Store_ID</x:t>
        </x:is>
      </x:c>
      <x:c r="D1" s="2" t="inlineStr">
        <x:is>
          <x:t xml:space="preserve">Salon_Location</x:t>
        </x:is>
      </x:c>
      <x:c r="E1" s="2" t="inlineStr">
        <x:is>
          <x:t xml:space="preserve">Brand</x:t>
        </x:is>
      </x:c>
      <x:c r="F1" s="2" t="inlineStr">
        <x:is>
          <x:t xml:space="preserve">Product_ID</x:t>
        </x:is>
      </x:c>
      <x:c r="G1" s="2" t="inlineStr">
        <x:is>
          <x:t xml:space="preserve">Product_Name</x:t>
        </x:is>
      </x:c>
      <x:c r="H1" s="2" t="inlineStr">
        <x:is>
          <x:t xml:space="preserve">Category</x:t>
        </x:is>
      </x:c>
      <x:c r="I1" s="2" t="inlineStr">
        <x:is>
          <x:t xml:space="preserve">Stylist</x:t>
        </x:is>
      </x:c>
      <x:c r="J1" s="2" t="inlineStr">
        <x:is>
          <x:t xml:space="preserve">Units_Sold</x:t>
        </x:is>
      </x:c>
      <x:c r="K1" s="4" t="inlineStr">
        <x:is>
          <x:t xml:space="preserve">Unit_Cost</x:t>
        </x:is>
      </x:c>
      <x:c r="L1" s="4" t="inlineStr">
        <x:is>
          <x:t xml:space="preserve">Retail_Price</x:t>
        </x:is>
      </x:c>
      <x:c r="M1" s="5" t="inlineStr">
        <x:is>
          <x:t xml:space="preserve">Discount_%</x:t>
        </x:is>
      </x:c>
      <x:c r="N1" s="4" t="inlineStr">
        <x:is>
          <x:t xml:space="preserve">Net_Sales</x:t>
        </x:is>
      </x:c>
      <x:c r="O1" s="4" t="inlineStr">
        <x:is>
          <x:t xml:space="preserve">COGS</x:t>
        </x:is>
      </x:c>
      <x:c r="P1" s="4" t="inlineStr">
        <x:is>
          <x:t xml:space="preserve">Gross_Profit</x:t>
        </x:is>
      </x:c>
      <x:c r="Q1" s="6" t="inlineStr">
        <x:is>
          <x:t xml:space="preserve">Gross_Margin_%</x:t>
        </x:is>
      </x:c>
      <x:c r="R1" s="2" t="inlineStr">
        <x:is>
          <x:t xml:space="preserve">Payment_Method</x:t>
        </x:is>
      </x:c>
      <x:c r="S1" s="2" t="inlineStr">
        <x:is>
          <x:t xml:space="preserve">Customer_Type</x:t>
        </x:is>
      </x:c>
      <x:c r="T1" s="1" t="n"/>
      <x:c r="U1" s="1" t="n"/>
      <x:c r="V1" s="1" t="n"/>
      <x:c r="W1" s="1" t="n"/>
      <x:c r="X1" s="1" t="n"/>
      <x:c r="Y1" s="1" t="n"/>
      <x:c r="Z1" s="1" t="n"/>
    </x:row>
    <x:row r="2">
      <x:c r="A2" t="inlineStr">
        <x:is>
          <x:t xml:space="preserve">TRX-0001</x:t>
        </x:is>
      </x:c>
      <x:c r="B2" t="n">
        <x:v>46093</x:v>
      </x:c>
      <x:c r="C2" t="inlineStr">
        <x:is>
          <x:t xml:space="preserve">CG-001</x:t>
        </x:is>
      </x:c>
      <x:c r="D2" t="inlineStr">
        <x:is>
          <x:t xml:space="preserve">Gabriel Samra Coral Gables</x:t>
        </x:is>
      </x:c>
      <x:c r="E2" t="inlineStr">
        <x:is>
          <x:t xml:space="preserve">Truss</x:t>
        </x:is>
      </x:c>
      <x:c r="F2" t="inlineStr">
        <x:is>
          <x:t xml:space="preserve">TRU-CND-002</x:t>
        </x:is>
      </x:c>
      <x:c r="G2" t="inlineStr">
        <x:is>
          <x:t xml:space="preserve">Infusion Conditioner</x:t>
        </x:is>
      </x:c>
      <x:c r="H2" t="inlineStr">
        <x:is>
          <x:t xml:space="preserve">Hair Care</x:t>
        </x:is>
      </x:c>
      <x:c r="I2" t="inlineStr">
        <x:is>
          <x:t xml:space="preserve">Magaly</x:t>
        </x:is>
      </x:c>
      <x:c r="J2" t="n">
        <x:v>1</x:v>
      </x:c>
      <x:c r="K2" t="n">
        <x:v>15.25</x:v>
      </x:c>
      <x:c r="L2" t="n">
        <x:v>34</x:v>
      </x:c>
      <x:c r="M2" t="n">
        <x:v>0</x:v>
      </x:c>
      <x:c r="N2" t="n">
        <x:f>J2*L2*(1-M2)</x:f>
        <x:v>34</x:v>
      </x:c>
      <x:c r="O2" t="n">
        <x:f>J2*K2</x:f>
        <x:v>15.25</x:v>
      </x:c>
      <x:c r="P2" t="n">
        <x:f>N2-O2</x:f>
        <x:v>18.75</x:v>
      </x:c>
      <x:c r="Q2" t="n">
        <x:f>IF(N2=0,0,P2/N2)</x:f>
        <x:v>0.5514705882352942</x:v>
      </x:c>
      <x:c r="R2" t="inlineStr">
        <x:is>
          <x:t xml:space="preserve">Card</x:t>
        </x:is>
      </x:c>
      <x:c r="S2" t="inlineStr">
        <x:is>
          <x:t xml:space="preserve">Stylist Recommendation</x:t>
        </x:is>
      </x:c>
    </x:row>
    <x:row r="3">
      <x:c r="A3" t="inlineStr">
        <x:is>
          <x:t xml:space="preserve">TRX-0002</x:t>
        </x:is>
      </x:c>
      <x:c r="B3" t="n">
        <x:v>46046</x:v>
      </x:c>
      <x:c r="C3" t="inlineStr">
        <x:is>
          <x:t xml:space="preserve">CG-001</x:t>
        </x:is>
      </x:c>
      <x:c r="D3" t="inlineStr">
        <x:is>
          <x:t xml:space="preserve">Gabriel Samra Coral Gables</x:t>
        </x:is>
      </x:c>
      <x:c r="E3" t="inlineStr">
        <x:is>
          <x:t xml:space="preserve">Truss</x:t>
        </x:is>
      </x:c>
      <x:c r="F3" t="inlineStr">
        <x:is>
          <x:t xml:space="preserve">TRU-SHP-001</x:t>
        </x:is>
      </x:c>
      <x:c r="G3" t="inlineStr">
        <x:is>
          <x:t xml:space="preserve">Infusion Shampoo</x:t>
        </x:is>
      </x:c>
      <x:c r="H3" t="inlineStr">
        <x:is>
          <x:t xml:space="preserve">Hair Care</x:t>
        </x:is>
      </x:c>
      <x:c r="I3" t="inlineStr">
        <x:is>
          <x:t xml:space="preserve">Melia</x:t>
        </x:is>
      </x:c>
      <x:c r="J3" t="n">
        <x:v>1</x:v>
      </x:c>
      <x:c r="K3" t="n">
        <x:v>14.5</x:v>
      </x:c>
      <x:c r="L3" t="n">
        <x:v>32</x:v>
      </x:c>
      <x:c r="M3" t="n">
        <x:v>0</x:v>
      </x:c>
      <x:c r="N3" t="n">
        <x:f>J3*L3*(1-M3)</x:f>
        <x:v>32</x:v>
      </x:c>
      <x:c r="O3" t="n">
        <x:f>J3*K3</x:f>
        <x:v>14.5</x:v>
      </x:c>
      <x:c r="P3" t="n">
        <x:f>N3-O3</x:f>
        <x:v>17.5</x:v>
      </x:c>
      <x:c r="Q3" t="n">
        <x:f>IF(N3=0,0,P3/N3)</x:f>
        <x:v>0.546875</x:v>
      </x:c>
      <x:c r="R3" t="inlineStr">
        <x:is>
          <x:t xml:space="preserve">Cash</x:t>
        </x:is>
      </x:c>
      <x:c r="S3" t="inlineStr">
        <x:is>
          <x:t xml:space="preserve">Stylist Recommendation</x:t>
        </x:is>
      </x:c>
    </x:row>
    <x:row r="4">
      <x:c r="A4" t="inlineStr">
        <x:is>
          <x:t xml:space="preserve">TRX-0003</x:t>
        </x:is>
      </x:c>
      <x:c r="B4" t="n">
        <x:v>46094</x:v>
      </x:c>
      <x:c r="C4" t="inlineStr">
        <x:is>
          <x:t xml:space="preserve">DR-001</x:t>
        </x:is>
      </x:c>
      <x:c r="D4" t="inlineStr">
        <x:is>
          <x:t xml:space="preserve">Gabriel Samra Doral</x:t>
        </x:is>
      </x:c>
      <x:c r="E4" t="inlineStr">
        <x:is>
          <x:t xml:space="preserve">Truss</x:t>
        </x:is>
      </x:c>
      <x:c r="F4" t="inlineStr">
        <x:is>
          <x:t xml:space="preserve">TRU-OIL-004</x:t>
        </x:is>
      </x:c>
      <x:c r="G4" t="inlineStr">
        <x:is>
          <x:t xml:space="preserve">Deluxe Prime Oil</x:t>
        </x:is>
      </x:c>
      <x:c r="H4" t="inlineStr">
        <x:is>
          <x:t xml:space="preserve">Finishing</x:t>
        </x:is>
      </x:c>
      <x:c r="I4" t="inlineStr">
        <x:is>
          <x:t xml:space="preserve">Isaac</x:t>
        </x:is>
      </x:c>
      <x:c r="J4" t="n">
        <x:v>2</x:v>
      </x:c>
      <x:c r="K4" t="n">
        <x:v>18</x:v>
      </x:c>
      <x:c r="L4" t="n">
        <x:v>42</x:v>
      </x:c>
      <x:c r="M4" t="n">
        <x:v>0</x:v>
      </x:c>
      <x:c r="N4" t="n">
        <x:f>J4*L4*(1-M4)</x:f>
        <x:v>84</x:v>
      </x:c>
      <x:c r="O4" t="n">
        <x:f>J4*K4</x:f>
        <x:v>36</x:v>
      </x:c>
      <x:c r="P4" t="n">
        <x:f>N4-O4</x:f>
        <x:v>48</x:v>
      </x:c>
      <x:c r="Q4" t="n">
        <x:f>IF(N4=0,0,P4/N4)</x:f>
        <x:v>0.5714285714285714</x:v>
      </x:c>
      <x:c r="R4" t="inlineStr">
        <x:is>
          <x:t xml:space="preserve">Gift Card</x:t>
        </x:is>
      </x:c>
      <x:c r="S4" t="inlineStr">
        <x:is>
          <x:t xml:space="preserve">Post-Service Retail</x:t>
        </x:is>
      </x:c>
    </x:row>
    <x:row r="5">
      <x:c r="A5" t="inlineStr">
        <x:is>
          <x:t xml:space="preserve">TRX-0004</x:t>
        </x:is>
      </x:c>
      <x:c r="B5" t="n">
        <x:v>46078</x:v>
      </x:c>
      <x:c r="C5" t="inlineStr">
        <x:is>
          <x:t xml:space="preserve">CG-001</x:t>
        </x:is>
      </x:c>
      <x:c r="D5" t="inlineStr">
        <x:is>
          <x:t xml:space="preserve">Gabriel Samra Coral Gables</x:t>
        </x:is>
      </x:c>
      <x:c r="E5" t="inlineStr">
        <x:is>
          <x:t xml:space="preserve">Truss</x:t>
        </x:is>
      </x:c>
      <x:c r="F5" t="inlineStr">
        <x:is>
          <x:t xml:space="preserve">TRU-SER-005</x:t>
        </x:is>
      </x:c>
      <x:c r="G5" t="inlineStr">
        <x:is>
          <x:t xml:space="preserve">Night Spa Serum</x:t>
        </x:is>
      </x:c>
      <x:c r="H5" t="inlineStr">
        <x:is>
          <x:t xml:space="preserve">Treatment</x:t>
        </x:is>
      </x:c>
      <x:c r="I5" t="inlineStr">
        <x:is>
          <x:t xml:space="preserve">Magaly</x:t>
        </x:is>
      </x:c>
      <x:c r="J5" t="n">
        <x:v>3</x:v>
      </x:c>
      <x:c r="K5" t="n">
        <x:v>19.75</x:v>
      </x:c>
      <x:c r="L5" t="n">
        <x:v>48</x:v>
      </x:c>
      <x:c r="M5" t="n">
        <x:v>0</x:v>
      </x:c>
      <x:c r="N5" t="n">
        <x:f>J5*L5*(1-M5)</x:f>
        <x:v>144</x:v>
      </x:c>
      <x:c r="O5" t="n">
        <x:f>J5*K5</x:f>
        <x:v>59.25</x:v>
      </x:c>
      <x:c r="P5" t="n">
        <x:f>N5-O5</x:f>
        <x:v>84.75</x:v>
      </x:c>
      <x:c r="Q5" t="n">
        <x:f>IF(N5=0,0,P5/N5)</x:f>
        <x:v>0.5885416666666666</x:v>
      </x:c>
      <x:c r="R5" t="inlineStr">
        <x:is>
          <x:t xml:space="preserve">Gift Card</x:t>
        </x:is>
      </x:c>
      <x:c r="S5" t="inlineStr">
        <x:is>
          <x:t xml:space="preserve">Existing Client</x:t>
        </x:is>
      </x:c>
    </x:row>
    <x:row r="6">
      <x:c r="A6" t="inlineStr">
        <x:is>
          <x:t xml:space="preserve">TRX-0005</x:t>
        </x:is>
      </x:c>
      <x:c r="B6" t="n">
        <x:v>46090</x:v>
      </x:c>
      <x:c r="C6" t="inlineStr">
        <x:is>
          <x:t xml:space="preserve">DR-001</x:t>
        </x:is>
      </x:c>
      <x:c r="D6" t="inlineStr">
        <x:is>
          <x:t xml:space="preserve">Gabriel Samra Doral</x:t>
        </x:is>
      </x:c>
      <x:c r="E6" t="inlineStr">
        <x:is>
          <x:t xml:space="preserve">Sutra</x:t>
        </x:is>
      </x:c>
      <x:c r="F6" t="inlineStr">
        <x:is>
          <x:t xml:space="preserve">SUT-FIR-001</x:t>
        </x:is>
      </x:c>
      <x:c r="G6" t="inlineStr">
        <x:is>
          <x:t xml:space="preserve">Mini Flat Iron</x:t>
        </x:is>
      </x:c>
      <x:c r="H6" t="inlineStr">
        <x:is>
          <x:t xml:space="preserve">Hot Tools</x:t>
        </x:is>
      </x:c>
      <x:c r="I6" t="inlineStr">
        <x:is>
          <x:t xml:space="preserve">Magaly</x:t>
        </x:is>
      </x:c>
      <x:c r="J6" t="n">
        <x:v>2</x:v>
      </x:c>
      <x:c r="K6" t="n">
        <x:v>38</x:v>
      </x:c>
      <x:c r="L6" t="n">
        <x:v>89</x:v>
      </x:c>
      <x:c r="M6" t="n">
        <x:v>0.05</x:v>
      </x:c>
      <x:c r="N6" t="n">
        <x:f>J6*L6*(1-M6)</x:f>
        <x:v>169.1</x:v>
      </x:c>
      <x:c r="O6" t="n">
        <x:f>J6*K6</x:f>
        <x:v>76</x:v>
      </x:c>
      <x:c r="P6" t="n">
        <x:f>N6-O6</x:f>
        <x:v>93.1</x:v>
      </x:c>
      <x:c r="Q6" t="n">
        <x:f>IF(N6=0,0,P6/N6)</x:f>
        <x:v>0.550561797752809</x:v>
      </x:c>
      <x:c r="R6" t="inlineStr">
        <x:is>
          <x:t xml:space="preserve">Gift Card</x:t>
        </x:is>
      </x:c>
      <x:c r="S6" t="inlineStr">
        <x:is>
          <x:t xml:space="preserve">Existing Client</x:t>
        </x:is>
      </x:c>
    </x:row>
    <x:row r="7">
      <x:c r="A7" t="inlineStr">
        <x:is>
          <x:t xml:space="preserve">TRX-0006</x:t>
        </x:is>
      </x:c>
      <x:c r="B7" t="n">
        <x:v>46115</x:v>
      </x:c>
      <x:c r="C7" t="inlineStr">
        <x:is>
          <x:t xml:space="preserve">DR-001</x:t>
        </x:is>
      </x:c>
      <x:c r="D7" t="inlineStr">
        <x:is>
          <x:t xml:space="preserve">Gabriel Samra Doral</x:t>
        </x:is>
      </x:c>
      <x:c r="E7" t="inlineStr">
        <x:is>
          <x:t xml:space="preserve">Sutra</x:t>
        </x:is>
      </x:c>
      <x:c r="F7" t="inlineStr">
        <x:is>
          <x:t xml:space="preserve">SUT-DRY-004</x:t>
        </x:is>
      </x:c>
      <x:c r="G7" t="inlineStr">
        <x:is>
          <x:t xml:space="preserve">Professional Hair Dryer</x:t>
        </x:is>
      </x:c>
      <x:c r="H7" t="inlineStr">
        <x:is>
          <x:t xml:space="preserve">Hot Tools</x:t>
        </x:is>
      </x:c>
      <x:c r="I7" t="inlineStr">
        <x:is>
          <x:t xml:space="preserve">Melia</x:t>
        </x:is>
      </x:c>
      <x:c r="J7" t="n">
        <x:v>1</x:v>
      </x:c>
      <x:c r="K7" t="n">
        <x:v>62</x:v>
      </x:c>
      <x:c r="L7" t="n">
        <x:v>149</x:v>
      </x:c>
      <x:c r="M7" t="n">
        <x:v>0.05</x:v>
      </x:c>
      <x:c r="N7" t="n">
        <x:f>J7*L7*(1-M7)</x:f>
        <x:v>141.54999999999998</x:v>
      </x:c>
      <x:c r="O7" t="n">
        <x:f>J7*K7</x:f>
        <x:v>62</x:v>
      </x:c>
      <x:c r="P7" t="n">
        <x:f>N7-O7</x:f>
        <x:v>79.54999999999998</x:v>
      </x:c>
      <x:c r="Q7" t="n">
        <x:f>IF(N7=0,0,P7/N7)</x:f>
        <x:v>0.5619922288943836</x:v>
      </x:c>
      <x:c r="R7" t="inlineStr">
        <x:is>
          <x:t xml:space="preserve">Cash</x:t>
        </x:is>
      </x:c>
      <x:c r="S7" t="inlineStr">
        <x:is>
          <x:t xml:space="preserve">Post-Service Retail</x:t>
        </x:is>
      </x:c>
    </x:row>
    <x:row r="8">
      <x:c r="A8" t="inlineStr">
        <x:is>
          <x:t xml:space="preserve">TRX-0007</x:t>
        </x:is>
      </x:c>
      <x:c r="B8" t="n">
        <x:v>46048</x:v>
      </x:c>
      <x:c r="C8" t="inlineStr">
        <x:is>
          <x:t xml:space="preserve">CG-001</x:t>
        </x:is>
      </x:c>
      <x:c r="D8" t="inlineStr">
        <x:is>
          <x:t xml:space="preserve">Gabriel Samra Coral Gables</x:t>
        </x:is>
      </x:c>
      <x:c r="E8" t="inlineStr">
        <x:is>
          <x:t xml:space="preserve">Truss</x:t>
        </x:is>
      </x:c>
      <x:c r="F8" t="inlineStr">
        <x:is>
          <x:t xml:space="preserve">TRU-CND-002</x:t>
        </x:is>
      </x:c>
      <x:c r="G8" t="inlineStr">
        <x:is>
          <x:t xml:space="preserve">Infusion Conditioner</x:t>
        </x:is>
      </x:c>
      <x:c r="H8" t="inlineStr">
        <x:is>
          <x:t xml:space="preserve">Hair Care</x:t>
        </x:is>
      </x:c>
      <x:c r="I8" t="inlineStr">
        <x:is>
          <x:t xml:space="preserve">Melia</x:t>
        </x:is>
      </x:c>
      <x:c r="J8" t="n">
        <x:v>1</x:v>
      </x:c>
      <x:c r="K8" t="n">
        <x:v>15.25</x:v>
      </x:c>
      <x:c r="L8" t="n">
        <x:v>34</x:v>
      </x:c>
      <x:c r="M8" t="n">
        <x:v>0</x:v>
      </x:c>
      <x:c r="N8" t="n">
        <x:f>J8*L8*(1-M8)</x:f>
        <x:v>34</x:v>
      </x:c>
      <x:c r="O8" t="n">
        <x:f>J8*K8</x:f>
        <x:v>15.25</x:v>
      </x:c>
      <x:c r="P8" t="n">
        <x:f>N8-O8</x:f>
        <x:v>18.75</x:v>
      </x:c>
      <x:c r="Q8" t="n">
        <x:f>IF(N8=0,0,P8/N8)</x:f>
        <x:v>0.5514705882352942</x:v>
      </x:c>
      <x:c r="R8" t="inlineStr">
        <x:is>
          <x:t xml:space="preserve">Cash</x:t>
        </x:is>
      </x:c>
      <x:c r="S8" t="inlineStr">
        <x:is>
          <x:t xml:space="preserve">Post-Service Retail</x:t>
        </x:is>
      </x:c>
    </x:row>
    <x:row r="9">
      <x:c r="A9" t="inlineStr">
        <x:is>
          <x:t xml:space="preserve">TRX-0008</x:t>
        </x:is>
      </x:c>
      <x:c r="B9" t="n">
        <x:v>46091</x:v>
      </x:c>
      <x:c r="C9" t="inlineStr">
        <x:is>
          <x:t xml:space="preserve">CG-001</x:t>
        </x:is>
      </x:c>
      <x:c r="D9" t="inlineStr">
        <x:is>
          <x:t xml:space="preserve">Gabriel Samra Coral Gables</x:t>
        </x:is>
      </x:c>
      <x:c r="E9" t="inlineStr">
        <x:is>
          <x:t xml:space="preserve">Sutra</x:t>
        </x:is>
      </x:c>
      <x:c r="F9" t="inlineStr">
        <x:is>
          <x:t xml:space="preserve">SUT-FIR-001</x:t>
        </x:is>
      </x:c>
      <x:c r="G9" t="inlineStr">
        <x:is>
          <x:t xml:space="preserve">Mini Flat Iron</x:t>
        </x:is>
      </x:c>
      <x:c r="H9" t="inlineStr">
        <x:is>
          <x:t xml:space="preserve">Hot Tools</x:t>
        </x:is>
      </x:c>
      <x:c r="I9" t="inlineStr">
        <x:is>
          <x:t xml:space="preserve">Magaly</x:t>
        </x:is>
      </x:c>
      <x:c r="J9" t="n">
        <x:v>1</x:v>
      </x:c>
      <x:c r="K9" t="n">
        <x:v>38</x:v>
      </x:c>
      <x:c r="L9" t="n">
        <x:v>89</x:v>
      </x:c>
      <x:c r="M9" t="n">
        <x:v>0.05</x:v>
      </x:c>
      <x:c r="N9" t="n">
        <x:f>J9*L9*(1-M9)</x:f>
        <x:v>84.55</x:v>
      </x:c>
      <x:c r="O9" t="n">
        <x:f>J9*K9</x:f>
        <x:v>38</x:v>
      </x:c>
      <x:c r="P9" t="n">
        <x:f>N9-O9</x:f>
        <x:v>46.55</x:v>
      </x:c>
      <x:c r="Q9" t="n">
        <x:f>IF(N9=0,0,P9/N9)</x:f>
        <x:v>0.550561797752809</x:v>
      </x:c>
      <x:c r="R9" t="inlineStr">
        <x:is>
          <x:t xml:space="preserve">Cash</x:t>
        </x:is>
      </x:c>
      <x:c r="S9" t="inlineStr">
        <x:is>
          <x:t xml:space="preserve">Walk-in Client</x:t>
        </x:is>
      </x:c>
    </x:row>
    <x:row r="10">
      <x:c r="A10" t="inlineStr">
        <x:is>
          <x:t xml:space="preserve">TRX-0009</x:t>
        </x:is>
      </x:c>
      <x:c r="B10" t="n">
        <x:v>46120</x:v>
      </x:c>
      <x:c r="C10" t="inlineStr">
        <x:is>
          <x:t xml:space="preserve">DR-001</x:t>
        </x:is>
      </x:c>
      <x:c r="D10" t="inlineStr">
        <x:is>
          <x:t xml:space="preserve">Gabriel Samra Doral</x:t>
        </x:is>
      </x:c>
      <x:c r="E10" t="inlineStr">
        <x:is>
          <x:t xml:space="preserve">Truss</x:t>
        </x:is>
      </x:c>
      <x:c r="F10" t="inlineStr">
        <x:is>
          <x:t xml:space="preserve">TRU-MSK-003</x:t>
        </x:is>
      </x:c>
      <x:c r="G10" t="inlineStr">
        <x:is>
          <x:t xml:space="preserve">Net Mask</x:t>
        </x:is>
      </x:c>
      <x:c r="H10" t="inlineStr">
        <x:is>
          <x:t xml:space="preserve">Treatment</x:t>
        </x:is>
      </x:c>
      <x:c r="I10" t="inlineStr">
        <x:is>
          <x:t xml:space="preserve">Isaac</x:t>
        </x:is>
      </x:c>
      <x:c r="J10" t="n">
        <x:v>1</x:v>
      </x:c>
      <x:c r="K10" t="n">
        <x:v>20</x:v>
      </x:c>
      <x:c r="L10" t="n">
        <x:v>45</x:v>
      </x:c>
      <x:c r="M10" t="n">
        <x:v>0.1</x:v>
      </x:c>
      <x:c r="N10" t="n">
        <x:f>J10*L10*(1-M10)</x:f>
        <x:v>40.5</x:v>
      </x:c>
      <x:c r="O10" t="n">
        <x:f>J10*K10</x:f>
        <x:v>20</x:v>
      </x:c>
      <x:c r="P10" t="n">
        <x:f>N10-O10</x:f>
        <x:v>20.5</x:v>
      </x:c>
      <x:c r="Q10" t="n">
        <x:f>IF(N10=0,0,P10/N10)</x:f>
        <x:v>0.5061728395061729</x:v>
      </x:c>
      <x:c r="R10" t="inlineStr">
        <x:is>
          <x:t xml:space="preserve">Apple Pay</x:t>
        </x:is>
      </x:c>
      <x:c r="S10" t="inlineStr">
        <x:is>
          <x:t xml:space="preserve">Existing Client</x:t>
        </x:is>
      </x:c>
    </x:row>
    <x:row r="11">
      <x:c r="A11" t="inlineStr">
        <x:is>
          <x:t xml:space="preserve">TRX-0010</x:t>
        </x:is>
      </x:c>
      <x:c r="B11" t="n">
        <x:v>46103</x:v>
      </x:c>
      <x:c r="C11" t="inlineStr">
        <x:is>
          <x:t xml:space="preserve">CG-001</x:t>
        </x:is>
      </x:c>
      <x:c r="D11" t="inlineStr">
        <x:is>
          <x:t xml:space="preserve">Gabriel Samra Coral Gables</x:t>
        </x:is>
      </x:c>
      <x:c r="E11" t="inlineStr">
        <x:is>
          <x:t xml:space="preserve">Truss</x:t>
        </x:is>
      </x:c>
      <x:c r="F11" t="inlineStr">
        <x:is>
          <x:t xml:space="preserve">TRU-OIL-004</x:t>
        </x:is>
      </x:c>
      <x:c r="G11" t="inlineStr">
        <x:is>
          <x:t xml:space="preserve">Deluxe Prime Oil</x:t>
        </x:is>
      </x:c>
      <x:c r="H11" t="inlineStr">
        <x:is>
          <x:t xml:space="preserve">Finishing</x:t>
        </x:is>
      </x:c>
      <x:c r="I11" t="inlineStr">
        <x:is>
          <x:t xml:space="preserve">Melia</x:t>
        </x:is>
      </x:c>
      <x:c r="J11" t="n">
        <x:v>1</x:v>
      </x:c>
      <x:c r="K11" t="n">
        <x:v>18</x:v>
      </x:c>
      <x:c r="L11" t="n">
        <x:v>42</x:v>
      </x:c>
      <x:c r="M11" t="n">
        <x:v>0</x:v>
      </x:c>
      <x:c r="N11" t="n">
        <x:f>J11*L11*(1-M11)</x:f>
        <x:v>42</x:v>
      </x:c>
      <x:c r="O11" t="n">
        <x:f>J11*K11</x:f>
        <x:v>18</x:v>
      </x:c>
      <x:c r="P11" t="n">
        <x:f>N11-O11</x:f>
        <x:v>24</x:v>
      </x:c>
      <x:c r="Q11" t="n">
        <x:f>IF(N11=0,0,P11/N11)</x:f>
        <x:v>0.5714285714285714</x:v>
      </x:c>
      <x:c r="R11" t="inlineStr">
        <x:is>
          <x:t xml:space="preserve">Cash</x:t>
        </x:is>
      </x:c>
      <x:c r="S11" t="inlineStr">
        <x:is>
          <x:t xml:space="preserve">Stylist Recommendation</x:t>
        </x:is>
      </x:c>
    </x:row>
    <x:row r="12">
      <x:c r="A12" t="inlineStr">
        <x:is>
          <x:t xml:space="preserve">TRX-0011</x:t>
        </x:is>
      </x:c>
      <x:c r="B12" t="n">
        <x:v>46059</x:v>
      </x:c>
      <x:c r="C12" t="inlineStr">
        <x:is>
          <x:t xml:space="preserve">DR-001</x:t>
        </x:is>
      </x:c>
      <x:c r="D12" t="inlineStr">
        <x:is>
          <x:t xml:space="preserve">Gabriel Samra Doral</x:t>
        </x:is>
      </x:c>
      <x:c r="E12" t="inlineStr">
        <x:is>
          <x:t xml:space="preserve">Sutra</x:t>
        </x:is>
      </x:c>
      <x:c r="F12" t="inlineStr">
        <x:is>
          <x:t xml:space="preserve">SUT-CUR-002</x:t>
        </x:is>
      </x:c>
      <x:c r="G12" t="inlineStr">
        <x:is>
          <x:t xml:space="preserve">Clipless Curling Iron</x:t>
        </x:is>
      </x:c>
      <x:c r="H12" t="inlineStr">
        <x:is>
          <x:t xml:space="preserve">Hot Tools</x:t>
        </x:is>
      </x:c>
      <x:c r="I12" t="inlineStr">
        <x:is>
          <x:t xml:space="preserve">Isaac</x:t>
        </x:is>
      </x:c>
      <x:c r="J12" t="n">
        <x:v>1</x:v>
      </x:c>
      <x:c r="K12" t="n">
        <x:v>42</x:v>
      </x:c>
      <x:c r="L12" t="n">
        <x:v>99</x:v>
      </x:c>
      <x:c r="M12" t="n">
        <x:v>0</x:v>
      </x:c>
      <x:c r="N12" t="n">
        <x:f>J12*L12*(1-M12)</x:f>
        <x:v>99</x:v>
      </x:c>
      <x:c r="O12" t="n">
        <x:f>J12*K12</x:f>
        <x:v>42</x:v>
      </x:c>
      <x:c r="P12" t="n">
        <x:f>N12-O12</x:f>
        <x:v>57</x:v>
      </x:c>
      <x:c r="Q12" t="n">
        <x:f>IF(N12=0,0,P12/N12)</x:f>
        <x:v>0.5757575757575758</x:v>
      </x:c>
      <x:c r="R12" t="inlineStr">
        <x:is>
          <x:t xml:space="preserve">Gift Card</x:t>
        </x:is>
      </x:c>
      <x:c r="S12" t="inlineStr">
        <x:is>
          <x:t xml:space="preserve">Stylist Recommendation</x:t>
        </x:is>
      </x:c>
    </x:row>
    <x:row r="13">
      <x:c r="A13" t="inlineStr">
        <x:is>
          <x:t xml:space="preserve">TRX-0012</x:t>
        </x:is>
      </x:c>
      <x:c r="B13" t="n">
        <x:v>46058</x:v>
      </x:c>
      <x:c r="C13" t="inlineStr">
        <x:is>
          <x:t xml:space="preserve">CG-001</x:t>
        </x:is>
      </x:c>
      <x:c r="D13" t="inlineStr">
        <x:is>
          <x:t xml:space="preserve">Gabriel Samra Coral Gables</x:t>
        </x:is>
      </x:c>
      <x:c r="E13" t="inlineStr">
        <x:is>
          <x:t xml:space="preserve">Sutra</x:t>
        </x:is>
      </x:c>
      <x:c r="F13" t="inlineStr">
        <x:is>
          <x:t xml:space="preserve">SUT-FIR-001</x:t>
        </x:is>
      </x:c>
      <x:c r="G13" t="inlineStr">
        <x:is>
          <x:t xml:space="preserve">Mini Flat Iron</x:t>
        </x:is>
      </x:c>
      <x:c r="H13" t="inlineStr">
        <x:is>
          <x:t xml:space="preserve">Hot Tools</x:t>
        </x:is>
      </x:c>
      <x:c r="I13" t="inlineStr">
        <x:is>
          <x:t xml:space="preserve">Melia</x:t>
        </x:is>
      </x:c>
      <x:c r="J13" t="n">
        <x:v>1</x:v>
      </x:c>
      <x:c r="K13" t="n">
        <x:v>38</x:v>
      </x:c>
      <x:c r="L13" t="n">
        <x:v>89</x:v>
      </x:c>
      <x:c r="M13" t="n">
        <x:v>0</x:v>
      </x:c>
      <x:c r="N13" t="n">
        <x:f>J13*L13*(1-M13)</x:f>
        <x:v>89</x:v>
      </x:c>
      <x:c r="O13" t="n">
        <x:f>J13*K13</x:f>
        <x:v>38</x:v>
      </x:c>
      <x:c r="P13" t="n">
        <x:f>N13-O13</x:f>
        <x:v>51</x:v>
      </x:c>
      <x:c r="Q13" t="n">
        <x:f>IF(N13=0,0,P13/N13)</x:f>
        <x:v>0.5730337078651685</x:v>
      </x:c>
      <x:c r="R13" t="inlineStr">
        <x:is>
          <x:t xml:space="preserve">Card</x:t>
        </x:is>
      </x:c>
      <x:c r="S13" t="inlineStr">
        <x:is>
          <x:t xml:space="preserve">Walk-in Client</x:t>
        </x:is>
      </x:c>
    </x:row>
    <x:row r="14">
      <x:c r="A14" t="inlineStr">
        <x:is>
          <x:t xml:space="preserve">TRX-0013</x:t>
        </x:is>
      </x:c>
      <x:c r="B14" t="n">
        <x:v>46039</x:v>
      </x:c>
      <x:c r="C14" t="inlineStr">
        <x:is>
          <x:t xml:space="preserve">DR-001</x:t>
        </x:is>
      </x:c>
      <x:c r="D14" t="inlineStr">
        <x:is>
          <x:t xml:space="preserve">Gabriel Samra Doral</x:t>
        </x:is>
      </x:c>
      <x:c r="E14" t="inlineStr">
        <x:is>
          <x:t xml:space="preserve">Truss</x:t>
        </x:is>
      </x:c>
      <x:c r="F14" t="inlineStr">
        <x:is>
          <x:t xml:space="preserve">TRU-MSK-003</x:t>
        </x:is>
      </x:c>
      <x:c r="G14" t="inlineStr">
        <x:is>
          <x:t xml:space="preserve">Net Mask</x:t>
        </x:is>
      </x:c>
      <x:c r="H14" t="inlineStr">
        <x:is>
          <x:t xml:space="preserve">Treatment</x:t>
        </x:is>
      </x:c>
      <x:c r="I14" t="inlineStr">
        <x:is>
          <x:t xml:space="preserve">Magaly</x:t>
        </x:is>
      </x:c>
      <x:c r="J14" t="n">
        <x:v>1</x:v>
      </x:c>
      <x:c r="K14" t="n">
        <x:v>20</x:v>
      </x:c>
      <x:c r="L14" t="n">
        <x:v>45</x:v>
      </x:c>
      <x:c r="M14" t="n">
        <x:v>0</x:v>
      </x:c>
      <x:c r="N14" t="n">
        <x:f>J14*L14*(1-M14)</x:f>
        <x:v>45</x:v>
      </x:c>
      <x:c r="O14" t="n">
        <x:f>J14*K14</x:f>
        <x:v>20</x:v>
      </x:c>
      <x:c r="P14" t="n">
        <x:f>N14-O14</x:f>
        <x:v>25</x:v>
      </x:c>
      <x:c r="Q14" t="n">
        <x:f>IF(N14=0,0,P14/N14)</x:f>
        <x:v>0.5555555555555556</x:v>
      </x:c>
      <x:c r="R14" t="inlineStr">
        <x:is>
          <x:t xml:space="preserve">Apple Pay</x:t>
        </x:is>
      </x:c>
      <x:c r="S14" t="inlineStr">
        <x:is>
          <x:t xml:space="preserve">Existing Client</x:t>
        </x:is>
      </x:c>
    </x:row>
    <x:row r="15">
      <x:c r="A15" t="inlineStr">
        <x:is>
          <x:t xml:space="preserve">TRX-0014</x:t>
        </x:is>
      </x:c>
      <x:c r="B15" t="n">
        <x:v>46110</x:v>
      </x:c>
      <x:c r="C15" t="inlineStr">
        <x:is>
          <x:t xml:space="preserve">DR-001</x:t>
        </x:is>
      </x:c>
      <x:c r="D15" t="inlineStr">
        <x:is>
          <x:t xml:space="preserve">Gabriel Samra Doral</x:t>
        </x:is>
      </x:c>
      <x:c r="E15" t="inlineStr">
        <x:is>
          <x:t xml:space="preserve">Truss</x:t>
        </x:is>
      </x:c>
      <x:c r="F15" t="inlineStr">
        <x:is>
          <x:t xml:space="preserve">TRU-CND-002</x:t>
        </x:is>
      </x:c>
      <x:c r="G15" t="inlineStr">
        <x:is>
          <x:t xml:space="preserve">Infusion Conditioner</x:t>
        </x:is>
      </x:c>
      <x:c r="H15" t="inlineStr">
        <x:is>
          <x:t xml:space="preserve">Hair Care</x:t>
        </x:is>
      </x:c>
      <x:c r="I15" t="inlineStr">
        <x:is>
          <x:t xml:space="preserve">Magaly</x:t>
        </x:is>
      </x:c>
      <x:c r="J15" t="n">
        <x:v>1</x:v>
      </x:c>
      <x:c r="K15" t="n">
        <x:v>15.25</x:v>
      </x:c>
      <x:c r="L15" t="n">
        <x:v>34</x:v>
      </x:c>
      <x:c r="M15" t="n">
        <x:v>0</x:v>
      </x:c>
      <x:c r="N15" t="n">
        <x:f>J15*L15*(1-M15)</x:f>
        <x:v>34</x:v>
      </x:c>
      <x:c r="O15" t="n">
        <x:f>J15*K15</x:f>
        <x:v>15.25</x:v>
      </x:c>
      <x:c r="P15" t="n">
        <x:f>N15-O15</x:f>
        <x:v>18.75</x:v>
      </x:c>
      <x:c r="Q15" t="n">
        <x:f>IF(N15=0,0,P15/N15)</x:f>
        <x:v>0.5514705882352942</x:v>
      </x:c>
      <x:c r="R15" t="inlineStr">
        <x:is>
          <x:t xml:space="preserve">Card</x:t>
        </x:is>
      </x:c>
      <x:c r="S15" t="inlineStr">
        <x:is>
          <x:t xml:space="preserve">Post-Service Retail</x:t>
        </x:is>
      </x:c>
    </x:row>
    <x:row r="16">
      <x:c r="A16" t="inlineStr">
        <x:is>
          <x:t xml:space="preserve">TRX-0015</x:t>
        </x:is>
      </x:c>
      <x:c r="B16" t="n">
        <x:v>46152</x:v>
      </x:c>
      <x:c r="C16" t="inlineStr">
        <x:is>
          <x:t xml:space="preserve">CG-001</x:t>
        </x:is>
      </x:c>
      <x:c r="D16" t="inlineStr">
        <x:is>
          <x:t xml:space="preserve">Gabriel Samra Coral Gables</x:t>
        </x:is>
      </x:c>
      <x:c r="E16" t="inlineStr">
        <x:is>
          <x:t xml:space="preserve">Sutra</x:t>
        </x:is>
      </x:c>
      <x:c r="F16" t="inlineStr">
        <x:is>
          <x:t xml:space="preserve">SUT-DRY-004</x:t>
        </x:is>
      </x:c>
      <x:c r="G16" t="inlineStr">
        <x:is>
          <x:t xml:space="preserve">Professional Hair Dryer</x:t>
        </x:is>
      </x:c>
      <x:c r="H16" t="inlineStr">
        <x:is>
          <x:t xml:space="preserve">Hot Tools</x:t>
        </x:is>
      </x:c>
      <x:c r="I16" t="inlineStr">
        <x:is>
          <x:t xml:space="preserve">Isaac</x:t>
        </x:is>
      </x:c>
      <x:c r="J16" t="n">
        <x:v>2</x:v>
      </x:c>
      <x:c r="K16" t="n">
        <x:v>62</x:v>
      </x:c>
      <x:c r="L16" t="n">
        <x:v>149</x:v>
      </x:c>
      <x:c r="M16" t="n">
        <x:v>0.1</x:v>
      </x:c>
      <x:c r="N16" t="n">
        <x:f>J16*L16*(1-M16)</x:f>
        <x:v>268.2</x:v>
      </x:c>
      <x:c r="O16" t="n">
        <x:f>J16*K16</x:f>
        <x:v>124</x:v>
      </x:c>
      <x:c r="P16" t="n">
        <x:f>N16-O16</x:f>
        <x:v>144.2</x:v>
      </x:c>
      <x:c r="Q16" t="n">
        <x:f>IF(N16=0,0,P16/N16)</x:f>
        <x:v>0.5376584638329605</x:v>
      </x:c>
      <x:c r="R16" t="inlineStr">
        <x:is>
          <x:t xml:space="preserve">Cash</x:t>
        </x:is>
      </x:c>
      <x:c r="S16" t="inlineStr">
        <x:is>
          <x:t xml:space="preserve">Walk-in Client</x:t>
        </x:is>
      </x:c>
    </x:row>
    <x:row r="17">
      <x:c r="A17" t="inlineStr">
        <x:is>
          <x:t xml:space="preserve">TRX-0016</x:t>
        </x:is>
      </x:c>
      <x:c r="B17" t="n">
        <x:v>46161</x:v>
      </x:c>
      <x:c r="C17" t="inlineStr">
        <x:is>
          <x:t xml:space="preserve">CG-001</x:t>
        </x:is>
      </x:c>
      <x:c r="D17" t="inlineStr">
        <x:is>
          <x:t xml:space="preserve">Gabriel Samra Coral Gables</x:t>
        </x:is>
      </x:c>
      <x:c r="E17" t="inlineStr">
        <x:is>
          <x:t xml:space="preserve">Sutra</x:t>
        </x:is>
      </x:c>
      <x:c r="F17" t="inlineStr">
        <x:is>
          <x:t xml:space="preserve">SUT-FIR-001</x:t>
        </x:is>
      </x:c>
      <x:c r="G17" t="inlineStr">
        <x:is>
          <x:t xml:space="preserve">Mini Flat Iron</x:t>
        </x:is>
      </x:c>
      <x:c r="H17" t="inlineStr">
        <x:is>
          <x:t xml:space="preserve">Hot Tools</x:t>
        </x:is>
      </x:c>
      <x:c r="I17" t="inlineStr">
        <x:is>
          <x:t xml:space="preserve">Melia</x:t>
        </x:is>
      </x:c>
      <x:c r="J17" t="n">
        <x:v>3</x:v>
      </x:c>
      <x:c r="K17" t="n">
        <x:v>38</x:v>
      </x:c>
      <x:c r="L17" t="n">
        <x:v>89</x:v>
      </x:c>
      <x:c r="M17" t="n">
        <x:v>0.1</x:v>
      </x:c>
      <x:c r="N17" t="n">
        <x:f>J17*L17*(1-M17)</x:f>
        <x:v>240.3</x:v>
      </x:c>
      <x:c r="O17" t="n">
        <x:f>J17*K17</x:f>
        <x:v>114</x:v>
      </x:c>
      <x:c r="P17" t="n">
        <x:f>N17-O17</x:f>
        <x:v>126.30000000000001</x:v>
      </x:c>
      <x:c r="Q17" t="n">
        <x:f>IF(N17=0,0,P17/N17)</x:f>
        <x:v>0.5255930087390762</x:v>
      </x:c>
      <x:c r="R17" t="inlineStr">
        <x:is>
          <x:t xml:space="preserve">Apple Pay</x:t>
        </x:is>
      </x:c>
      <x:c r="S17" t="inlineStr">
        <x:is>
          <x:t xml:space="preserve">Stylist Recommendation</x:t>
        </x:is>
      </x:c>
    </x:row>
    <x:row r="18">
      <x:c r="A18" t="inlineStr">
        <x:is>
          <x:t xml:space="preserve">TRX-0017</x:t>
        </x:is>
      </x:c>
      <x:c r="B18" t="n">
        <x:v>46115</x:v>
      </x:c>
      <x:c r="C18" t="inlineStr">
        <x:is>
          <x:t xml:space="preserve">CG-001</x:t>
        </x:is>
      </x:c>
      <x:c r="D18" t="inlineStr">
        <x:is>
          <x:t xml:space="preserve">Gabriel Samra Coral Gables</x:t>
        </x:is>
      </x:c>
      <x:c r="E18" t="inlineStr">
        <x:is>
          <x:t xml:space="preserve">Truss</x:t>
        </x:is>
      </x:c>
      <x:c r="F18" t="inlineStr">
        <x:is>
          <x:t xml:space="preserve">TRU-SHP-001</x:t>
        </x:is>
      </x:c>
      <x:c r="G18" t="inlineStr">
        <x:is>
          <x:t xml:space="preserve">Infusion Shampoo</x:t>
        </x:is>
      </x:c>
      <x:c r="H18" t="inlineStr">
        <x:is>
          <x:t xml:space="preserve">Hair Care</x:t>
        </x:is>
      </x:c>
      <x:c r="I18" t="inlineStr">
        <x:is>
          <x:t xml:space="preserve">Isaac</x:t>
        </x:is>
      </x:c>
      <x:c r="J18" t="n">
        <x:v>2</x:v>
      </x:c>
      <x:c r="K18" t="n">
        <x:v>14.5</x:v>
      </x:c>
      <x:c r="L18" t="n">
        <x:v>32</x:v>
      </x:c>
      <x:c r="M18" t="n">
        <x:v>0.05</x:v>
      </x:c>
      <x:c r="N18" t="n">
        <x:f>J18*L18*(1-M18)</x:f>
        <x:v>60.8</x:v>
      </x:c>
      <x:c r="O18" t="n">
        <x:f>J18*K18</x:f>
        <x:v>29</x:v>
      </x:c>
      <x:c r="P18" t="n">
        <x:f>N18-O18</x:f>
        <x:v>31.799999999999997</x:v>
      </x:c>
      <x:c r="Q18" t="n">
        <x:f>IF(N18=0,0,P18/N18)</x:f>
        <x:v>0.5230263157894737</x:v>
      </x:c>
      <x:c r="R18" t="inlineStr">
        <x:is>
          <x:t xml:space="preserve">Cash</x:t>
        </x:is>
      </x:c>
      <x:c r="S18" t="inlineStr">
        <x:is>
          <x:t xml:space="preserve">Existing Client</x:t>
        </x:is>
      </x:c>
    </x:row>
    <x:row r="19">
      <x:c r="A19" t="inlineStr">
        <x:is>
          <x:t xml:space="preserve">TRX-0018</x:t>
        </x:is>
      </x:c>
      <x:c r="B19" t="n">
        <x:v>46044</x:v>
      </x:c>
      <x:c r="C19" t="inlineStr">
        <x:is>
          <x:t xml:space="preserve">CG-001</x:t>
        </x:is>
      </x:c>
      <x:c r="D19" t="inlineStr">
        <x:is>
          <x:t xml:space="preserve">Gabriel Samra Coral Gables</x:t>
        </x:is>
      </x:c>
      <x:c r="E19" t="inlineStr">
        <x:is>
          <x:t xml:space="preserve">Truss</x:t>
        </x:is>
      </x:c>
      <x:c r="F19" t="inlineStr">
        <x:is>
          <x:t xml:space="preserve">TRU-OIL-004</x:t>
        </x:is>
      </x:c>
      <x:c r="G19" t="inlineStr">
        <x:is>
          <x:t xml:space="preserve">Deluxe Prime Oil</x:t>
        </x:is>
      </x:c>
      <x:c r="H19" t="inlineStr">
        <x:is>
          <x:t xml:space="preserve">Finishing</x:t>
        </x:is>
      </x:c>
      <x:c r="I19" t="inlineStr">
        <x:is>
          <x:t xml:space="preserve">Isaac</x:t>
        </x:is>
      </x:c>
      <x:c r="J19" t="n">
        <x:v>1</x:v>
      </x:c>
      <x:c r="K19" t="n">
        <x:v>18</x:v>
      </x:c>
      <x:c r="L19" t="n">
        <x:v>42</x:v>
      </x:c>
      <x:c r="M19" t="n">
        <x:v>0.05</x:v>
      </x:c>
      <x:c r="N19" t="n">
        <x:f>J19*L19*(1-M19)</x:f>
        <x:v>39.9</x:v>
      </x:c>
      <x:c r="O19" t="n">
        <x:f>J19*K19</x:f>
        <x:v>18</x:v>
      </x:c>
      <x:c r="P19" t="n">
        <x:f>N19-O19</x:f>
        <x:v>21.9</x:v>
      </x:c>
      <x:c r="Q19" t="n">
        <x:f>IF(N19=0,0,P19/N19)</x:f>
        <x:v>0.5488721804511278</x:v>
      </x:c>
      <x:c r="R19" t="inlineStr">
        <x:is>
          <x:t xml:space="preserve">Cash</x:t>
        </x:is>
      </x:c>
      <x:c r="S19" t="inlineStr">
        <x:is>
          <x:t xml:space="preserve">Stylist Recommendation</x:t>
        </x:is>
      </x:c>
    </x:row>
    <x:row r="20">
      <x:c r="A20" t="inlineStr">
        <x:is>
          <x:t xml:space="preserve">TRX-0019</x:t>
        </x:is>
      </x:c>
      <x:c r="B20" t="n">
        <x:v>46090</x:v>
      </x:c>
      <x:c r="C20" t="inlineStr">
        <x:is>
          <x:t xml:space="preserve">CG-001</x:t>
        </x:is>
      </x:c>
      <x:c r="D20" t="inlineStr">
        <x:is>
          <x:t xml:space="preserve">Gabriel Samra Coral Gables</x:t>
        </x:is>
      </x:c>
      <x:c r="E20" t="inlineStr">
        <x:is>
          <x:t xml:space="preserve">Sutra</x:t>
        </x:is>
      </x:c>
      <x:c r="F20" t="inlineStr">
        <x:is>
          <x:t xml:space="preserve">SUT-DRY-004</x:t>
        </x:is>
      </x:c>
      <x:c r="G20" t="inlineStr">
        <x:is>
          <x:t xml:space="preserve">Professional Hair Dryer</x:t>
        </x:is>
      </x:c>
      <x:c r="H20" t="inlineStr">
        <x:is>
          <x:t xml:space="preserve">Hot Tools</x:t>
        </x:is>
      </x:c>
      <x:c r="I20" t="inlineStr">
        <x:is>
          <x:t xml:space="preserve">Isaac</x:t>
        </x:is>
      </x:c>
      <x:c r="J20" t="n">
        <x:v>1</x:v>
      </x:c>
      <x:c r="K20" t="n">
        <x:v>62</x:v>
      </x:c>
      <x:c r="L20" t="n">
        <x:v>149</x:v>
      </x:c>
      <x:c r="M20" t="n">
        <x:v>0</x:v>
      </x:c>
      <x:c r="N20" t="n">
        <x:f>J20*L20*(1-M20)</x:f>
        <x:v>149</x:v>
      </x:c>
      <x:c r="O20" t="n">
        <x:f>J20*K20</x:f>
        <x:v>62</x:v>
      </x:c>
      <x:c r="P20" t="n">
        <x:f>N20-O20</x:f>
        <x:v>87</x:v>
      </x:c>
      <x:c r="Q20" t="n">
        <x:f>IF(N20=0,0,P20/N20)</x:f>
        <x:v>0.5838926174496645</x:v>
      </x:c>
      <x:c r="R20" t="inlineStr">
        <x:is>
          <x:t xml:space="preserve">Cash</x:t>
        </x:is>
      </x:c>
      <x:c r="S20" t="inlineStr">
        <x:is>
          <x:t xml:space="preserve">Post-Service Retail</x:t>
        </x:is>
      </x:c>
    </x:row>
    <x:row r="21">
      <x:c r="A21" t="inlineStr">
        <x:is>
          <x:t xml:space="preserve">TRX-0020</x:t>
        </x:is>
      </x:c>
      <x:c r="B21" t="n">
        <x:v>46135</x:v>
      </x:c>
      <x:c r="C21" t="inlineStr">
        <x:is>
          <x:t xml:space="preserve">DR-001</x:t>
        </x:is>
      </x:c>
      <x:c r="D21" t="inlineStr">
        <x:is>
          <x:t xml:space="preserve">Gabriel Samra Doral</x:t>
        </x:is>
      </x:c>
      <x:c r="E21" t="inlineStr">
        <x:is>
          <x:t xml:space="preserve">Sutra</x:t>
        </x:is>
      </x:c>
      <x:c r="F21" t="inlineStr">
        <x:is>
          <x:t xml:space="preserve">SUT-CUR-002</x:t>
        </x:is>
      </x:c>
      <x:c r="G21" t="inlineStr">
        <x:is>
          <x:t xml:space="preserve">Clipless Curling Iron</x:t>
        </x:is>
      </x:c>
      <x:c r="H21" t="inlineStr">
        <x:is>
          <x:t xml:space="preserve">Hot Tools</x:t>
        </x:is>
      </x:c>
      <x:c r="I21" t="inlineStr">
        <x:is>
          <x:t xml:space="preserve">Isaac</x:t>
        </x:is>
      </x:c>
      <x:c r="J21" t="n">
        <x:v>2</x:v>
      </x:c>
      <x:c r="K21" t="n">
        <x:v>42</x:v>
      </x:c>
      <x:c r="L21" t="n">
        <x:v>99</x:v>
      </x:c>
      <x:c r="M21" t="n">
        <x:v>0</x:v>
      </x:c>
      <x:c r="N21" t="n">
        <x:f>J21*L21*(1-M21)</x:f>
        <x:v>198</x:v>
      </x:c>
      <x:c r="O21" t="n">
        <x:f>J21*K21</x:f>
        <x:v>84</x:v>
      </x:c>
      <x:c r="P21" t="n">
        <x:f>N21-O21</x:f>
        <x:v>114</x:v>
      </x:c>
      <x:c r="Q21" t="n">
        <x:f>IF(N21=0,0,P21/N21)</x:f>
        <x:v>0.5757575757575758</x:v>
      </x:c>
      <x:c r="R21" t="inlineStr">
        <x:is>
          <x:t xml:space="preserve">Cash</x:t>
        </x:is>
      </x:c>
      <x:c r="S21" t="inlineStr">
        <x:is>
          <x:t xml:space="preserve">Existing Client</x:t>
        </x:is>
      </x:c>
    </x:row>
    <x:row r="22">
      <x:c r="A22" t="inlineStr">
        <x:is>
          <x:t xml:space="preserve">TRX-0021</x:t>
        </x:is>
      </x:c>
      <x:c r="B22" t="n">
        <x:v>46081</x:v>
      </x:c>
      <x:c r="C22" t="inlineStr">
        <x:is>
          <x:t xml:space="preserve">CG-001</x:t>
        </x:is>
      </x:c>
      <x:c r="D22" t="inlineStr">
        <x:is>
          <x:t xml:space="preserve">Gabriel Samra Coral Gables</x:t>
        </x:is>
      </x:c>
      <x:c r="E22" t="inlineStr">
        <x:is>
          <x:t xml:space="preserve">Sutra</x:t>
        </x:is>
      </x:c>
      <x:c r="F22" t="inlineStr">
        <x:is>
          <x:t xml:space="preserve">SUT-FIR-001</x:t>
        </x:is>
      </x:c>
      <x:c r="G22" t="inlineStr">
        <x:is>
          <x:t xml:space="preserve">Mini Flat Iron</x:t>
        </x:is>
      </x:c>
      <x:c r="H22" t="inlineStr">
        <x:is>
          <x:t xml:space="preserve">Hot Tools</x:t>
        </x:is>
      </x:c>
      <x:c r="I22" t="inlineStr">
        <x:is>
          <x:t xml:space="preserve">Melia</x:t>
        </x:is>
      </x:c>
      <x:c r="J22" t="n">
        <x:v>1</x:v>
      </x:c>
      <x:c r="K22" t="n">
        <x:v>38</x:v>
      </x:c>
      <x:c r="L22" t="n">
        <x:v>89</x:v>
      </x:c>
      <x:c r="M22" t="n">
        <x:v>0</x:v>
      </x:c>
      <x:c r="N22" t="n">
        <x:f>J22*L22*(1-M22)</x:f>
        <x:v>89</x:v>
      </x:c>
      <x:c r="O22" t="n">
        <x:f>J22*K22</x:f>
        <x:v>38</x:v>
      </x:c>
      <x:c r="P22" t="n">
        <x:f>N22-O22</x:f>
        <x:v>51</x:v>
      </x:c>
      <x:c r="Q22" t="n">
        <x:f>IF(N22=0,0,P22/N22)</x:f>
        <x:v>0.5730337078651685</x:v>
      </x:c>
      <x:c r="R22" t="inlineStr">
        <x:is>
          <x:t xml:space="preserve">Cash</x:t>
        </x:is>
      </x:c>
      <x:c r="S22" t="inlineStr">
        <x:is>
          <x:t xml:space="preserve">Existing Client</x:t>
        </x:is>
      </x:c>
    </x:row>
    <x:row r="23">
      <x:c r="A23" t="inlineStr">
        <x:is>
          <x:t xml:space="preserve">TRX-0022</x:t>
        </x:is>
      </x:c>
      <x:c r="B23" t="n">
        <x:v>46041</x:v>
      </x:c>
      <x:c r="C23" t="inlineStr">
        <x:is>
          <x:t xml:space="preserve">DR-001</x:t>
        </x:is>
      </x:c>
      <x:c r="D23" t="inlineStr">
        <x:is>
          <x:t xml:space="preserve">Gabriel Samra Doral</x:t>
        </x:is>
      </x:c>
      <x:c r="E23" t="inlineStr">
        <x:is>
          <x:t xml:space="preserve">Truss</x:t>
        </x:is>
      </x:c>
      <x:c r="F23" t="inlineStr">
        <x:is>
          <x:t xml:space="preserve">TRU-SHP-001</x:t>
        </x:is>
      </x:c>
      <x:c r="G23" t="inlineStr">
        <x:is>
          <x:t xml:space="preserve">Infusion Shampoo</x:t>
        </x:is>
      </x:c>
      <x:c r="H23" t="inlineStr">
        <x:is>
          <x:t xml:space="preserve">Hair Care</x:t>
        </x:is>
      </x:c>
      <x:c r="I23" t="inlineStr">
        <x:is>
          <x:t xml:space="preserve">Magaly</x:t>
        </x:is>
      </x:c>
      <x:c r="J23" t="n">
        <x:v>1</x:v>
      </x:c>
      <x:c r="K23" t="n">
        <x:v>14.5</x:v>
      </x:c>
      <x:c r="L23" t="n">
        <x:v>32</x:v>
      </x:c>
      <x:c r="M23" t="n">
        <x:v>0</x:v>
      </x:c>
      <x:c r="N23" t="n">
        <x:f>J23*L23*(1-M23)</x:f>
        <x:v>32</x:v>
      </x:c>
      <x:c r="O23" t="n">
        <x:f>J23*K23</x:f>
        <x:v>14.5</x:v>
      </x:c>
      <x:c r="P23" t="n">
        <x:f>N23-O23</x:f>
        <x:v>17.5</x:v>
      </x:c>
      <x:c r="Q23" t="n">
        <x:f>IF(N23=0,0,P23/N23)</x:f>
        <x:v>0.546875</x:v>
      </x:c>
      <x:c r="R23" t="inlineStr">
        <x:is>
          <x:t xml:space="preserve">Cash</x:t>
        </x:is>
      </x:c>
      <x:c r="S23" t="inlineStr">
        <x:is>
          <x:t xml:space="preserve">Walk-in Client</x:t>
        </x:is>
      </x:c>
    </x:row>
    <x:row r="24">
      <x:c r="A24" t="inlineStr">
        <x:is>
          <x:t xml:space="preserve">TRX-0023</x:t>
        </x:is>
      </x:c>
      <x:c r="B24" t="n">
        <x:v>46085</x:v>
      </x:c>
      <x:c r="C24" t="inlineStr">
        <x:is>
          <x:t xml:space="preserve">DR-001</x:t>
        </x:is>
      </x:c>
      <x:c r="D24" t="inlineStr">
        <x:is>
          <x:t xml:space="preserve">Gabriel Samra Doral</x:t>
        </x:is>
      </x:c>
      <x:c r="E24" t="inlineStr">
        <x:is>
          <x:t xml:space="preserve">Sutra</x:t>
        </x:is>
      </x:c>
      <x:c r="F24" t="inlineStr">
        <x:is>
          <x:t xml:space="preserve">SUT-HSP-005</x:t>
        </x:is>
      </x:c>
      <x:c r="G24" t="inlineStr">
        <x:is>
          <x:t xml:space="preserve">Heat Spray</x:t>
        </x:is>
      </x:c>
      <x:c r="H24" t="inlineStr">
        <x:is>
          <x:t xml:space="preserve">Styling</x:t>
        </x:is>
      </x:c>
      <x:c r="I24" t="inlineStr">
        <x:is>
          <x:t xml:space="preserve">Isaac</x:t>
        </x:is>
      </x:c>
      <x:c r="J24" t="n">
        <x:v>2</x:v>
      </x:c>
      <x:c r="K24" t="n">
        <x:v>9.5</x:v>
      </x:c>
      <x:c r="L24" t="n">
        <x:v>24</x:v>
      </x:c>
      <x:c r="M24" t="n">
        <x:v>0.05</x:v>
      </x:c>
      <x:c r="N24" t="n">
        <x:f>J24*L24*(1-M24)</x:f>
        <x:v>45.599999999999994</x:v>
      </x:c>
      <x:c r="O24" t="n">
        <x:f>J24*K24</x:f>
        <x:v>19</x:v>
      </x:c>
      <x:c r="P24" t="n">
        <x:f>N24-O24</x:f>
        <x:v>26.599999999999994</x:v>
      </x:c>
      <x:c r="Q24" t="n">
        <x:f>IF(N24=0,0,P24/N24)</x:f>
        <x:v>0.5833333333333333</x:v>
      </x:c>
      <x:c r="R24" t="inlineStr">
        <x:is>
          <x:t xml:space="preserve">Card</x:t>
        </x:is>
      </x:c>
      <x:c r="S24" t="inlineStr">
        <x:is>
          <x:t xml:space="preserve">Existing Client</x:t>
        </x:is>
      </x:c>
    </x:row>
    <x:row r="25">
      <x:c r="A25" t="inlineStr">
        <x:is>
          <x:t xml:space="preserve">TRX-0024</x:t>
        </x:is>
      </x:c>
      <x:c r="B25" t="n">
        <x:v>46131</x:v>
      </x:c>
      <x:c r="C25" t="inlineStr">
        <x:is>
          <x:t xml:space="preserve">DR-001</x:t>
        </x:is>
      </x:c>
      <x:c r="D25" t="inlineStr">
        <x:is>
          <x:t xml:space="preserve">Gabriel Samra Doral</x:t>
        </x:is>
      </x:c>
      <x:c r="E25" t="inlineStr">
        <x:is>
          <x:t xml:space="preserve">Sutra</x:t>
        </x:is>
      </x:c>
      <x:c r="F25" t="inlineStr">
        <x:is>
          <x:t xml:space="preserve">SUT-CUR-002</x:t>
        </x:is>
      </x:c>
      <x:c r="G25" t="inlineStr">
        <x:is>
          <x:t xml:space="preserve">Clipless Curling Iron</x:t>
        </x:is>
      </x:c>
      <x:c r="H25" t="inlineStr">
        <x:is>
          <x:t xml:space="preserve">Hot Tools</x:t>
        </x:is>
      </x:c>
      <x:c r="I25" t="inlineStr">
        <x:is>
          <x:t xml:space="preserve">Melia</x:t>
        </x:is>
      </x:c>
      <x:c r="J25" t="n">
        <x:v>1</x:v>
      </x:c>
      <x:c r="K25" t="n">
        <x:v>42</x:v>
      </x:c>
      <x:c r="L25" t="n">
        <x:v>99</x:v>
      </x:c>
      <x:c r="M25" t="n">
        <x:v>0.1</x:v>
      </x:c>
      <x:c r="N25" t="n">
        <x:f>J25*L25*(1-M25)</x:f>
        <x:v>89.10000000000001</x:v>
      </x:c>
      <x:c r="O25" t="n">
        <x:f>J25*K25</x:f>
        <x:v>42</x:v>
      </x:c>
      <x:c r="P25" t="n">
        <x:f>N25-O25</x:f>
        <x:v>47.10000000000001</x:v>
      </x:c>
      <x:c r="Q25" t="n">
        <x:f>IF(N25=0,0,P25/N25)</x:f>
        <x:v>0.5286195286195287</x:v>
      </x:c>
      <x:c r="R25" t="inlineStr">
        <x:is>
          <x:t xml:space="preserve">Card</x:t>
        </x:is>
      </x:c>
      <x:c r="S25" t="inlineStr">
        <x:is>
          <x:t xml:space="preserve">Existing Client</x:t>
        </x:is>
      </x:c>
    </x:row>
    <x:row r="26">
      <x:c r="A26" t="inlineStr">
        <x:is>
          <x:t xml:space="preserve">TRX-0025</x:t>
        </x:is>
      </x:c>
      <x:c r="B26" t="n">
        <x:v>46050</x:v>
      </x:c>
      <x:c r="C26" t="inlineStr">
        <x:is>
          <x:t xml:space="preserve">DR-001</x:t>
        </x:is>
      </x:c>
      <x:c r="D26" t="inlineStr">
        <x:is>
          <x:t xml:space="preserve">Gabriel Samra Doral</x:t>
        </x:is>
      </x:c>
      <x:c r="E26" t="inlineStr">
        <x:is>
          <x:t xml:space="preserve">Sutra</x:t>
        </x:is>
      </x:c>
      <x:c r="F26" t="inlineStr">
        <x:is>
          <x:t xml:space="preserve">SUT-CUR-002</x:t>
        </x:is>
      </x:c>
      <x:c r="G26" t="inlineStr">
        <x:is>
          <x:t xml:space="preserve">Clipless Curling Iron</x:t>
        </x:is>
      </x:c>
      <x:c r="H26" t="inlineStr">
        <x:is>
          <x:t xml:space="preserve">Hot Tools</x:t>
        </x:is>
      </x:c>
      <x:c r="I26" t="inlineStr">
        <x:is>
          <x:t xml:space="preserve">Magaly</x:t>
        </x:is>
      </x:c>
      <x:c r="J26" t="n">
        <x:v>1</x:v>
      </x:c>
      <x:c r="K26" t="n">
        <x:v>42</x:v>
      </x:c>
      <x:c r="L26" t="n">
        <x:v>99</x:v>
      </x:c>
      <x:c r="M26" t="n">
        <x:v>0</x:v>
      </x:c>
      <x:c r="N26" t="n">
        <x:f>J26*L26*(1-M26)</x:f>
        <x:v>99</x:v>
      </x:c>
      <x:c r="O26" t="n">
        <x:f>J26*K26</x:f>
        <x:v>42</x:v>
      </x:c>
      <x:c r="P26" t="n">
        <x:f>N26-O26</x:f>
        <x:v>57</x:v>
      </x:c>
      <x:c r="Q26" t="n">
        <x:f>IF(N26=0,0,P26/N26)</x:f>
        <x:v>0.5757575757575758</x:v>
      </x:c>
      <x:c r="R26" t="inlineStr">
        <x:is>
          <x:t xml:space="preserve">Cash</x:t>
        </x:is>
      </x:c>
      <x:c r="S26" t="inlineStr">
        <x:is>
          <x:t xml:space="preserve">Stylist Recommendation</x:t>
        </x:is>
      </x:c>
    </x:row>
    <x:row r="27">
      <x:c r="A27" t="inlineStr">
        <x:is>
          <x:t xml:space="preserve">TRX-0026</x:t>
        </x:is>
      </x:c>
      <x:c r="B27" t="n">
        <x:v>46141</x:v>
      </x:c>
      <x:c r="C27" t="inlineStr">
        <x:is>
          <x:t xml:space="preserve">DR-001</x:t>
        </x:is>
      </x:c>
      <x:c r="D27" t="inlineStr">
        <x:is>
          <x:t xml:space="preserve">Gabriel Samra Doral</x:t>
        </x:is>
      </x:c>
      <x:c r="E27" t="inlineStr">
        <x:is>
          <x:t xml:space="preserve">Truss</x:t>
        </x:is>
      </x:c>
      <x:c r="F27" t="inlineStr">
        <x:is>
          <x:t xml:space="preserve">TRU-MSK-003</x:t>
        </x:is>
      </x:c>
      <x:c r="G27" t="inlineStr">
        <x:is>
          <x:t xml:space="preserve">Net Mask</x:t>
        </x:is>
      </x:c>
      <x:c r="H27" t="inlineStr">
        <x:is>
          <x:t xml:space="preserve">Treatment</x:t>
        </x:is>
      </x:c>
      <x:c r="I27" t="inlineStr">
        <x:is>
          <x:t xml:space="preserve">Magaly</x:t>
        </x:is>
      </x:c>
      <x:c r="J27" t="n">
        <x:v>1</x:v>
      </x:c>
      <x:c r="K27" t="n">
        <x:v>20</x:v>
      </x:c>
      <x:c r="L27" t="n">
        <x:v>45</x:v>
      </x:c>
      <x:c r="M27" t="n">
        <x:v>0.1</x:v>
      </x:c>
      <x:c r="N27" t="n">
        <x:f>J27*L27*(1-M27)</x:f>
        <x:v>40.5</x:v>
      </x:c>
      <x:c r="O27" t="n">
        <x:f>J27*K27</x:f>
        <x:v>20</x:v>
      </x:c>
      <x:c r="P27" t="n">
        <x:f>N27-O27</x:f>
        <x:v>20.5</x:v>
      </x:c>
      <x:c r="Q27" t="n">
        <x:f>IF(N27=0,0,P27/N27)</x:f>
        <x:v>0.5061728395061729</x:v>
      </x:c>
      <x:c r="R27" t="inlineStr">
        <x:is>
          <x:t xml:space="preserve">Card</x:t>
        </x:is>
      </x:c>
      <x:c r="S27" t="inlineStr">
        <x:is>
          <x:t xml:space="preserve">Existing Client</x:t>
        </x:is>
      </x:c>
    </x:row>
    <x:row r="28">
      <x:c r="A28" t="inlineStr">
        <x:is>
          <x:t xml:space="preserve">TRX-0027</x:t>
        </x:is>
      </x:c>
      <x:c r="B28" t="n">
        <x:v>46046</x:v>
      </x:c>
      <x:c r="C28" t="inlineStr">
        <x:is>
          <x:t xml:space="preserve">CG-001</x:t>
        </x:is>
      </x:c>
      <x:c r="D28" t="inlineStr">
        <x:is>
          <x:t xml:space="preserve">Gabriel Samra Coral Gables</x:t>
        </x:is>
      </x:c>
      <x:c r="E28" t="inlineStr">
        <x:is>
          <x:t xml:space="preserve">Sutra</x:t>
        </x:is>
      </x:c>
      <x:c r="F28" t="inlineStr">
        <x:is>
          <x:t xml:space="preserve">SUT-DRY-004</x:t>
        </x:is>
      </x:c>
      <x:c r="G28" t="inlineStr">
        <x:is>
          <x:t xml:space="preserve">Professional Hair Dryer</x:t>
        </x:is>
      </x:c>
      <x:c r="H28" t="inlineStr">
        <x:is>
          <x:t xml:space="preserve">Hot Tools</x:t>
        </x:is>
      </x:c>
      <x:c r="I28" t="inlineStr">
        <x:is>
          <x:t xml:space="preserve">Isaac</x:t>
        </x:is>
      </x:c>
      <x:c r="J28" t="n">
        <x:v>2</x:v>
      </x:c>
      <x:c r="K28" t="n">
        <x:v>62</x:v>
      </x:c>
      <x:c r="L28" t="n">
        <x:v>149</x:v>
      </x:c>
      <x:c r="M28" t="n">
        <x:v>0.05</x:v>
      </x:c>
      <x:c r="N28" t="n">
        <x:f>J28*L28*(1-M28)</x:f>
        <x:v>283.09999999999997</x:v>
      </x:c>
      <x:c r="O28" t="n">
        <x:f>J28*K28</x:f>
        <x:v>124</x:v>
      </x:c>
      <x:c r="P28" t="n">
        <x:f>N28-O28</x:f>
        <x:v>159.09999999999997</x:v>
      </x:c>
      <x:c r="Q28" t="n">
        <x:f>IF(N28=0,0,P28/N28)</x:f>
        <x:v>0.5619922288943836</x:v>
      </x:c>
      <x:c r="R28" t="inlineStr">
        <x:is>
          <x:t xml:space="preserve">Gift Card</x:t>
        </x:is>
      </x:c>
      <x:c r="S28" t="inlineStr">
        <x:is>
          <x:t xml:space="preserve">Stylist Recommendation</x:t>
        </x:is>
      </x:c>
    </x:row>
    <x:row r="29">
      <x:c r="A29" t="inlineStr">
        <x:is>
          <x:t xml:space="preserve">TRX-0028</x:t>
        </x:is>
      </x:c>
      <x:c r="B29" t="n">
        <x:v>46125</x:v>
      </x:c>
      <x:c r="C29" t="inlineStr">
        <x:is>
          <x:t xml:space="preserve">CG-001</x:t>
        </x:is>
      </x:c>
      <x:c r="D29" t="inlineStr">
        <x:is>
          <x:t xml:space="preserve">Gabriel Samra Coral Gables</x:t>
        </x:is>
      </x:c>
      <x:c r="E29" t="inlineStr">
        <x:is>
          <x:t xml:space="preserve">Sutra</x:t>
        </x:is>
      </x:c>
      <x:c r="F29" t="inlineStr">
        <x:is>
          <x:t xml:space="preserve">SUT-BLO-003</x:t>
        </x:is>
      </x:c>
      <x:c r="G29" t="inlineStr">
        <x:is>
          <x:t xml:space="preserve">Blowout Brush</x:t>
        </x:is>
      </x:c>
      <x:c r="H29" t="inlineStr">
        <x:is>
          <x:t xml:space="preserve">Hot Tools</x:t>
        </x:is>
      </x:c>
      <x:c r="I29" t="inlineStr">
        <x:is>
          <x:t xml:space="preserve">Melia</x:t>
        </x:is>
      </x:c>
      <x:c r="J29" t="n">
        <x:v>2</x:v>
      </x:c>
      <x:c r="K29" t="n">
        <x:v>48</x:v>
      </x:c>
      <x:c r="L29" t="n">
        <x:v>119</x:v>
      </x:c>
      <x:c r="M29" t="n">
        <x:v>0</x:v>
      </x:c>
      <x:c r="N29" t="n">
        <x:f>J29*L29*(1-M29)</x:f>
        <x:v>238</x:v>
      </x:c>
      <x:c r="O29" t="n">
        <x:f>J29*K29</x:f>
        <x:v>96</x:v>
      </x:c>
      <x:c r="P29" t="n">
        <x:f>N29-O29</x:f>
        <x:v>142</x:v>
      </x:c>
      <x:c r="Q29" t="n">
        <x:f>IF(N29=0,0,P29/N29)</x:f>
        <x:v>0.5966386554621849</x:v>
      </x:c>
      <x:c r="R29" t="inlineStr">
        <x:is>
          <x:t xml:space="preserve">Gift Card</x:t>
        </x:is>
      </x:c>
      <x:c r="S29" t="inlineStr">
        <x:is>
          <x:t xml:space="preserve">Post-Service Retail</x:t>
        </x:is>
      </x:c>
    </x:row>
    <x:row r="30">
      <x:c r="A30" t="inlineStr">
        <x:is>
          <x:t xml:space="preserve">TRX-0029</x:t>
        </x:is>
      </x:c>
      <x:c r="B30" t="n">
        <x:v>46131</x:v>
      </x:c>
      <x:c r="C30" t="inlineStr">
        <x:is>
          <x:t xml:space="preserve">DR-001</x:t>
        </x:is>
      </x:c>
      <x:c r="D30" t="inlineStr">
        <x:is>
          <x:t xml:space="preserve">Gabriel Samra Doral</x:t>
        </x:is>
      </x:c>
      <x:c r="E30" t="inlineStr">
        <x:is>
          <x:t xml:space="preserve">Sutra</x:t>
        </x:is>
      </x:c>
      <x:c r="F30" t="inlineStr">
        <x:is>
          <x:t xml:space="preserve">SUT-BLO-003</x:t>
        </x:is>
      </x:c>
      <x:c r="G30" t="inlineStr">
        <x:is>
          <x:t xml:space="preserve">Blowout Brush</x:t>
        </x:is>
      </x:c>
      <x:c r="H30" t="inlineStr">
        <x:is>
          <x:t xml:space="preserve">Hot Tools</x:t>
        </x:is>
      </x:c>
      <x:c r="I30" t="inlineStr">
        <x:is>
          <x:t xml:space="preserve">Magaly</x:t>
        </x:is>
      </x:c>
      <x:c r="J30" t="n">
        <x:v>1</x:v>
      </x:c>
      <x:c r="K30" t="n">
        <x:v>48</x:v>
      </x:c>
      <x:c r="L30" t="n">
        <x:v>119</x:v>
      </x:c>
      <x:c r="M30" t="n">
        <x:v>0.05</x:v>
      </x:c>
      <x:c r="N30" t="n">
        <x:f>J30*L30*(1-M30)</x:f>
        <x:v>113.05</x:v>
      </x:c>
      <x:c r="O30" t="n">
        <x:f>J30*K30</x:f>
        <x:v>48</x:v>
      </x:c>
      <x:c r="P30" t="n">
        <x:f>N30-O30</x:f>
        <x:v>65.05</x:v>
      </x:c>
      <x:c r="Q30" t="n">
        <x:f>IF(N30=0,0,P30/N30)</x:f>
        <x:v>0.5754091110128262</x:v>
      </x:c>
      <x:c r="R30" t="inlineStr">
        <x:is>
          <x:t xml:space="preserve">Cash</x:t>
        </x:is>
      </x:c>
      <x:c r="S30" t="inlineStr">
        <x:is>
          <x:t xml:space="preserve">Walk-in Client</x:t>
        </x:is>
      </x:c>
    </x:row>
    <x:row r="31">
      <x:c r="A31" t="inlineStr">
        <x:is>
          <x:t xml:space="preserve">TRX-0030</x:t>
        </x:is>
      </x:c>
      <x:c r="B31" t="n">
        <x:v>46037</x:v>
      </x:c>
      <x:c r="C31" t="inlineStr">
        <x:is>
          <x:t xml:space="preserve">CG-001</x:t>
        </x:is>
      </x:c>
      <x:c r="D31" t="inlineStr">
        <x:is>
          <x:t xml:space="preserve">Gabriel Samra Coral Gables</x:t>
        </x:is>
      </x:c>
      <x:c r="E31" t="inlineStr">
        <x:is>
          <x:t xml:space="preserve">Truss</x:t>
        </x:is>
      </x:c>
      <x:c r="F31" t="inlineStr">
        <x:is>
          <x:t xml:space="preserve">TRU-SER-005</x:t>
        </x:is>
      </x:c>
      <x:c r="G31" t="inlineStr">
        <x:is>
          <x:t xml:space="preserve">Night Spa Serum</x:t>
        </x:is>
      </x:c>
      <x:c r="H31" t="inlineStr">
        <x:is>
          <x:t xml:space="preserve">Treatment</x:t>
        </x:is>
      </x:c>
      <x:c r="I31" t="inlineStr">
        <x:is>
          <x:t xml:space="preserve">Melia</x:t>
        </x:is>
      </x:c>
      <x:c r="J31" t="n">
        <x:v>1</x:v>
      </x:c>
      <x:c r="K31" t="n">
        <x:v>19.75</x:v>
      </x:c>
      <x:c r="L31" t="n">
        <x:v>48</x:v>
      </x:c>
      <x:c r="M31" t="n">
        <x:v>0</x:v>
      </x:c>
      <x:c r="N31" t="n">
        <x:f>J31*L31*(1-M31)</x:f>
        <x:v>48</x:v>
      </x:c>
      <x:c r="O31" t="n">
        <x:f>J31*K31</x:f>
        <x:v>19.75</x:v>
      </x:c>
      <x:c r="P31" t="n">
        <x:f>N31-O31</x:f>
        <x:v>28.25</x:v>
      </x:c>
      <x:c r="Q31" t="n">
        <x:f>IF(N31=0,0,P31/N31)</x:f>
        <x:v>0.5885416666666666</x:v>
      </x:c>
      <x:c r="R31" t="inlineStr">
        <x:is>
          <x:t xml:space="preserve">Card</x:t>
        </x:is>
      </x:c>
      <x:c r="S31" t="inlineStr">
        <x:is>
          <x:t xml:space="preserve">Existing Client</x:t>
        </x:is>
      </x:c>
    </x:row>
    <x:row r="32">
      <x:c r="A32" t="inlineStr">
        <x:is>
          <x:t xml:space="preserve">TRX-0031</x:t>
        </x:is>
      </x:c>
      <x:c r="B32" t="n">
        <x:v>46151</x:v>
      </x:c>
      <x:c r="C32" t="inlineStr">
        <x:is>
          <x:t xml:space="preserve">DR-001</x:t>
        </x:is>
      </x:c>
      <x:c r="D32" t="inlineStr">
        <x:is>
          <x:t xml:space="preserve">Gabriel Samra Doral</x:t>
        </x:is>
      </x:c>
      <x:c r="E32" t="inlineStr">
        <x:is>
          <x:t xml:space="preserve">Sutra</x:t>
        </x:is>
      </x:c>
      <x:c r="F32" t="inlineStr">
        <x:is>
          <x:t xml:space="preserve">SUT-HSP-005</x:t>
        </x:is>
      </x:c>
      <x:c r="G32" t="inlineStr">
        <x:is>
          <x:t xml:space="preserve">Heat Spray</x:t>
        </x:is>
      </x:c>
      <x:c r="H32" t="inlineStr">
        <x:is>
          <x:t xml:space="preserve">Styling</x:t>
        </x:is>
      </x:c>
      <x:c r="I32" t="inlineStr">
        <x:is>
          <x:t xml:space="preserve">Melia</x:t>
        </x:is>
      </x:c>
      <x:c r="J32" t="n">
        <x:v>2</x:v>
      </x:c>
      <x:c r="K32" t="n">
        <x:v>9.5</x:v>
      </x:c>
      <x:c r="L32" t="n">
        <x:v>24</x:v>
      </x:c>
      <x:c r="M32" t="n">
        <x:v>0</x:v>
      </x:c>
      <x:c r="N32" t="n">
        <x:f>J32*L32*(1-M32)</x:f>
        <x:v>48</x:v>
      </x:c>
      <x:c r="O32" t="n">
        <x:f>J32*K32</x:f>
        <x:v>19</x:v>
      </x:c>
      <x:c r="P32" t="n">
        <x:f>N32-O32</x:f>
        <x:v>29</x:v>
      </x:c>
      <x:c r="Q32" t="n">
        <x:f>IF(N32=0,0,P32/N32)</x:f>
        <x:v>0.6041666666666666</x:v>
      </x:c>
      <x:c r="R32" t="inlineStr">
        <x:is>
          <x:t xml:space="preserve">Card</x:t>
        </x:is>
      </x:c>
      <x:c r="S32" t="inlineStr">
        <x:is>
          <x:t xml:space="preserve">Walk-in Client</x:t>
        </x:is>
      </x:c>
    </x:row>
    <x:row r="33">
      <x:c r="A33" t="inlineStr">
        <x:is>
          <x:t xml:space="preserve">TRX-0032</x:t>
        </x:is>
      </x:c>
      <x:c r="B33" t="n">
        <x:v>46083</x:v>
      </x:c>
      <x:c r="C33" t="inlineStr">
        <x:is>
          <x:t xml:space="preserve">CG-001</x:t>
        </x:is>
      </x:c>
      <x:c r="D33" t="inlineStr">
        <x:is>
          <x:t xml:space="preserve">Gabriel Samra Coral Gables</x:t>
        </x:is>
      </x:c>
      <x:c r="E33" t="inlineStr">
        <x:is>
          <x:t xml:space="preserve">Truss</x:t>
        </x:is>
      </x:c>
      <x:c r="F33" t="inlineStr">
        <x:is>
          <x:t xml:space="preserve">TRU-CND-002</x:t>
        </x:is>
      </x:c>
      <x:c r="G33" t="inlineStr">
        <x:is>
          <x:t xml:space="preserve">Infusion Conditioner</x:t>
        </x:is>
      </x:c>
      <x:c r="H33" t="inlineStr">
        <x:is>
          <x:t xml:space="preserve">Hair Care</x:t>
        </x:is>
      </x:c>
      <x:c r="I33" t="inlineStr">
        <x:is>
          <x:t xml:space="preserve">Isaac</x:t>
        </x:is>
      </x:c>
      <x:c r="J33" t="n">
        <x:v>1</x:v>
      </x:c>
      <x:c r="K33" t="n">
        <x:v>15.25</x:v>
      </x:c>
      <x:c r="L33" t="n">
        <x:v>34</x:v>
      </x:c>
      <x:c r="M33" t="n">
        <x:v>0.1</x:v>
      </x:c>
      <x:c r="N33" t="n">
        <x:f>J33*L33*(1-M33)</x:f>
        <x:v>30.6</x:v>
      </x:c>
      <x:c r="O33" t="n">
        <x:f>J33*K33</x:f>
        <x:v>15.25</x:v>
      </x:c>
      <x:c r="P33" t="n">
        <x:f>N33-O33</x:f>
        <x:v>15.350000000000001</x:v>
      </x:c>
      <x:c r="Q33" t="n">
        <x:f>IF(N33=0,0,P33/N33)</x:f>
        <x:v>0.5016339869281046</x:v>
      </x:c>
      <x:c r="R33" t="inlineStr">
        <x:is>
          <x:t xml:space="preserve">Card</x:t>
        </x:is>
      </x:c>
      <x:c r="S33" t="inlineStr">
        <x:is>
          <x:t xml:space="preserve">Existing Client</x:t>
        </x:is>
      </x:c>
    </x:row>
    <x:row r="34">
      <x:c r="A34" t="inlineStr">
        <x:is>
          <x:t xml:space="preserve">TRX-0033</x:t>
        </x:is>
      </x:c>
      <x:c r="B34" t="n">
        <x:v>46089</x:v>
      </x:c>
      <x:c r="C34" t="inlineStr">
        <x:is>
          <x:t xml:space="preserve">DR-001</x:t>
        </x:is>
      </x:c>
      <x:c r="D34" t="inlineStr">
        <x:is>
          <x:t xml:space="preserve">Gabriel Samra Doral</x:t>
        </x:is>
      </x:c>
      <x:c r="E34" t="inlineStr">
        <x:is>
          <x:t xml:space="preserve">Sutra</x:t>
        </x:is>
      </x:c>
      <x:c r="F34" t="inlineStr">
        <x:is>
          <x:t xml:space="preserve">SUT-CUR-002</x:t>
        </x:is>
      </x:c>
      <x:c r="G34" t="inlineStr">
        <x:is>
          <x:t xml:space="preserve">Clipless Curling Iron</x:t>
        </x:is>
      </x:c>
      <x:c r="H34" t="inlineStr">
        <x:is>
          <x:t xml:space="preserve">Hot Tools</x:t>
        </x:is>
      </x:c>
      <x:c r="I34" t="inlineStr">
        <x:is>
          <x:t xml:space="preserve">Isaac</x:t>
        </x:is>
      </x:c>
      <x:c r="J34" t="n">
        <x:v>1</x:v>
      </x:c>
      <x:c r="K34" t="n">
        <x:v>42</x:v>
      </x:c>
      <x:c r="L34" t="n">
        <x:v>99</x:v>
      </x:c>
      <x:c r="M34" t="n">
        <x:v>0.05</x:v>
      </x:c>
      <x:c r="N34" t="n">
        <x:f>J34*L34*(1-M34)</x:f>
        <x:v>94.05</x:v>
      </x:c>
      <x:c r="O34" t="n">
        <x:f>J34*K34</x:f>
        <x:v>42</x:v>
      </x:c>
      <x:c r="P34" t="n">
        <x:f>N34-O34</x:f>
        <x:v>52.05</x:v>
      </x:c>
      <x:c r="Q34" t="n">
        <x:f>IF(N34=0,0,P34/N34)</x:f>
        <x:v>0.5534290271132376</x:v>
      </x:c>
      <x:c r="R34" t="inlineStr">
        <x:is>
          <x:t xml:space="preserve">Apple Pay</x:t>
        </x:is>
      </x:c>
      <x:c r="S34" t="inlineStr">
        <x:is>
          <x:t xml:space="preserve">Stylist Recommendation</x:t>
        </x:is>
      </x:c>
    </x:row>
    <x:row r="35">
      <x:c r="A35" t="inlineStr">
        <x:is>
          <x:t xml:space="preserve">TRX-0034</x:t>
        </x:is>
      </x:c>
      <x:c r="B35" t="n">
        <x:v>46140</x:v>
      </x:c>
      <x:c r="C35" t="inlineStr">
        <x:is>
          <x:t xml:space="preserve">DR-001</x:t>
        </x:is>
      </x:c>
      <x:c r="D35" t="inlineStr">
        <x:is>
          <x:t xml:space="preserve">Gabriel Samra Doral</x:t>
        </x:is>
      </x:c>
      <x:c r="E35" t="inlineStr">
        <x:is>
          <x:t xml:space="preserve">Truss</x:t>
        </x:is>
      </x:c>
      <x:c r="F35" t="inlineStr">
        <x:is>
          <x:t xml:space="preserve">TRU-MSK-003</x:t>
        </x:is>
      </x:c>
      <x:c r="G35" t="inlineStr">
        <x:is>
          <x:t xml:space="preserve">Net Mask</x:t>
        </x:is>
      </x:c>
      <x:c r="H35" t="inlineStr">
        <x:is>
          <x:t xml:space="preserve">Treatment</x:t>
        </x:is>
      </x:c>
      <x:c r="I35" t="inlineStr">
        <x:is>
          <x:t xml:space="preserve">Magaly</x:t>
        </x:is>
      </x:c>
      <x:c r="J35" t="n">
        <x:v>1</x:v>
      </x:c>
      <x:c r="K35" t="n">
        <x:v>20</x:v>
      </x:c>
      <x:c r="L35" t="n">
        <x:v>45</x:v>
      </x:c>
      <x:c r="M35" t="n">
        <x:v>0.05</x:v>
      </x:c>
      <x:c r="N35" t="n">
        <x:f>J35*L35*(1-M35)</x:f>
        <x:v>42.75</x:v>
      </x:c>
      <x:c r="O35" t="n">
        <x:f>J35*K35</x:f>
        <x:v>20</x:v>
      </x:c>
      <x:c r="P35" t="n">
        <x:f>N35-O35</x:f>
        <x:v>22.75</x:v>
      </x:c>
      <x:c r="Q35" t="n">
        <x:f>IF(N35=0,0,P35/N35)</x:f>
        <x:v>0.5321637426900585</x:v>
      </x:c>
      <x:c r="R35" t="inlineStr">
        <x:is>
          <x:t xml:space="preserve">Card</x:t>
        </x:is>
      </x:c>
      <x:c r="S35" t="inlineStr">
        <x:is>
          <x:t xml:space="preserve">Stylist Recommendation</x:t>
        </x:is>
      </x:c>
    </x:row>
    <x:row r="36">
      <x:c r="A36" t="inlineStr">
        <x:is>
          <x:t xml:space="preserve">TRX-0035</x:t>
        </x:is>
      </x:c>
      <x:c r="B36" t="n">
        <x:v>46041</x:v>
      </x:c>
      <x:c r="C36" t="inlineStr">
        <x:is>
          <x:t xml:space="preserve">CG-001</x:t>
        </x:is>
      </x:c>
      <x:c r="D36" t="inlineStr">
        <x:is>
          <x:t xml:space="preserve">Gabriel Samra Coral Gables</x:t>
        </x:is>
      </x:c>
      <x:c r="E36" t="inlineStr">
        <x:is>
          <x:t xml:space="preserve">Sutra</x:t>
        </x:is>
      </x:c>
      <x:c r="F36" t="inlineStr">
        <x:is>
          <x:t xml:space="preserve">SUT-HSP-005</x:t>
        </x:is>
      </x:c>
      <x:c r="G36" t="inlineStr">
        <x:is>
          <x:t xml:space="preserve">Heat Spray</x:t>
        </x:is>
      </x:c>
      <x:c r="H36" t="inlineStr">
        <x:is>
          <x:t xml:space="preserve">Styling</x:t>
        </x:is>
      </x:c>
      <x:c r="I36" t="inlineStr">
        <x:is>
          <x:t xml:space="preserve">Isaac</x:t>
        </x:is>
      </x:c>
      <x:c r="J36" t="n">
        <x:v>1</x:v>
      </x:c>
      <x:c r="K36" t="n">
        <x:v>9.5</x:v>
      </x:c>
      <x:c r="L36" t="n">
        <x:v>24</x:v>
      </x:c>
      <x:c r="M36" t="n">
        <x:v>0</x:v>
      </x:c>
      <x:c r="N36" t="n">
        <x:f>J36*L36*(1-M36)</x:f>
        <x:v>24</x:v>
      </x:c>
      <x:c r="O36" t="n">
        <x:f>J36*K36</x:f>
        <x:v>9.5</x:v>
      </x:c>
      <x:c r="P36" t="n">
        <x:f>N36-O36</x:f>
        <x:v>14.5</x:v>
      </x:c>
      <x:c r="Q36" t="n">
        <x:f>IF(N36=0,0,P36/N36)</x:f>
        <x:v>0.6041666666666666</x:v>
      </x:c>
      <x:c r="R36" t="inlineStr">
        <x:is>
          <x:t xml:space="preserve">Apple Pay</x:t>
        </x:is>
      </x:c>
      <x:c r="S36" t="inlineStr">
        <x:is>
          <x:t xml:space="preserve">Existing Client</x:t>
        </x:is>
      </x:c>
    </x:row>
    <x:row r="37">
      <x:c r="A37" t="inlineStr">
        <x:is>
          <x:t xml:space="preserve">TRX-0036</x:t>
        </x:is>
      </x:c>
      <x:c r="B37" t="n">
        <x:v>46095</x:v>
      </x:c>
      <x:c r="C37" t="inlineStr">
        <x:is>
          <x:t xml:space="preserve">DR-001</x:t>
        </x:is>
      </x:c>
      <x:c r="D37" t="inlineStr">
        <x:is>
          <x:t xml:space="preserve">Gabriel Samra Doral</x:t>
        </x:is>
      </x:c>
      <x:c r="E37" t="inlineStr">
        <x:is>
          <x:t xml:space="preserve">Truss</x:t>
        </x:is>
      </x:c>
      <x:c r="F37" t="inlineStr">
        <x:is>
          <x:t xml:space="preserve">TRU-OIL-004</x:t>
        </x:is>
      </x:c>
      <x:c r="G37" t="inlineStr">
        <x:is>
          <x:t xml:space="preserve">Deluxe Prime Oil</x:t>
        </x:is>
      </x:c>
      <x:c r="H37" t="inlineStr">
        <x:is>
          <x:t xml:space="preserve">Finishing</x:t>
        </x:is>
      </x:c>
      <x:c r="I37" t="inlineStr">
        <x:is>
          <x:t xml:space="preserve">Isaac</x:t>
        </x:is>
      </x:c>
      <x:c r="J37" t="n">
        <x:v>1</x:v>
      </x:c>
      <x:c r="K37" t="n">
        <x:v>18</x:v>
      </x:c>
      <x:c r="L37" t="n">
        <x:v>42</x:v>
      </x:c>
      <x:c r="M37" t="n">
        <x:v>0.05</x:v>
      </x:c>
      <x:c r="N37" t="n">
        <x:f>J37*L37*(1-M37)</x:f>
        <x:v>39.9</x:v>
      </x:c>
      <x:c r="O37" t="n">
        <x:f>J37*K37</x:f>
        <x:v>18</x:v>
      </x:c>
      <x:c r="P37" t="n">
        <x:f>N37-O37</x:f>
        <x:v>21.9</x:v>
      </x:c>
      <x:c r="Q37" t="n">
        <x:f>IF(N37=0,0,P37/N37)</x:f>
        <x:v>0.5488721804511278</x:v>
      </x:c>
      <x:c r="R37" t="inlineStr">
        <x:is>
          <x:t xml:space="preserve">Card</x:t>
        </x:is>
      </x:c>
      <x:c r="S37" t="inlineStr">
        <x:is>
          <x:t xml:space="preserve">Post-Service Retail</x:t>
        </x:is>
      </x:c>
    </x:row>
    <x:row r="38">
      <x:c r="A38" t="inlineStr">
        <x:is>
          <x:t xml:space="preserve">TRX-0037</x:t>
        </x:is>
      </x:c>
      <x:c r="B38" t="n">
        <x:v>46090</x:v>
      </x:c>
      <x:c r="C38" t="inlineStr">
        <x:is>
          <x:t xml:space="preserve">CG-001</x:t>
        </x:is>
      </x:c>
      <x:c r="D38" t="inlineStr">
        <x:is>
          <x:t xml:space="preserve">Gabriel Samra Coral Gables</x:t>
        </x:is>
      </x:c>
      <x:c r="E38" t="inlineStr">
        <x:is>
          <x:t xml:space="preserve">Truss</x:t>
        </x:is>
      </x:c>
      <x:c r="F38" t="inlineStr">
        <x:is>
          <x:t xml:space="preserve">TRU-CND-002</x:t>
        </x:is>
      </x:c>
      <x:c r="G38" t="inlineStr">
        <x:is>
          <x:t xml:space="preserve">Infusion Conditioner</x:t>
        </x:is>
      </x:c>
      <x:c r="H38" t="inlineStr">
        <x:is>
          <x:t xml:space="preserve">Hair Care</x:t>
        </x:is>
      </x:c>
      <x:c r="I38" t="inlineStr">
        <x:is>
          <x:t xml:space="preserve">Isaac</x:t>
        </x:is>
      </x:c>
      <x:c r="J38" t="n">
        <x:v>1</x:v>
      </x:c>
      <x:c r="K38" t="n">
        <x:v>15.25</x:v>
      </x:c>
      <x:c r="L38" t="n">
        <x:v>34</x:v>
      </x:c>
      <x:c r="M38" t="n">
        <x:v>0</x:v>
      </x:c>
      <x:c r="N38" t="n">
        <x:f>J38*L38*(1-M38)</x:f>
        <x:v>34</x:v>
      </x:c>
      <x:c r="O38" t="n">
        <x:f>J38*K38</x:f>
        <x:v>15.25</x:v>
      </x:c>
      <x:c r="P38" t="n">
        <x:f>N38-O38</x:f>
        <x:v>18.75</x:v>
      </x:c>
      <x:c r="Q38" t="n">
        <x:f>IF(N38=0,0,P38/N38)</x:f>
        <x:v>0.5514705882352942</x:v>
      </x:c>
      <x:c r="R38" t="inlineStr">
        <x:is>
          <x:t xml:space="preserve">Apple Pay</x:t>
        </x:is>
      </x:c>
      <x:c r="S38" t="inlineStr">
        <x:is>
          <x:t xml:space="preserve">Post-Service Retail</x:t>
        </x:is>
      </x:c>
    </x:row>
    <x:row r="39">
      <x:c r="A39" t="inlineStr">
        <x:is>
          <x:t xml:space="preserve">TRX-0038</x:t>
        </x:is>
      </x:c>
      <x:c r="B39" t="n">
        <x:v>46110</x:v>
      </x:c>
      <x:c r="C39" t="inlineStr">
        <x:is>
          <x:t xml:space="preserve">CG-001</x:t>
        </x:is>
      </x:c>
      <x:c r="D39" t="inlineStr">
        <x:is>
          <x:t xml:space="preserve">Gabriel Samra Coral Gables</x:t>
        </x:is>
      </x:c>
      <x:c r="E39" t="inlineStr">
        <x:is>
          <x:t xml:space="preserve">Sutra</x:t>
        </x:is>
      </x:c>
      <x:c r="F39" t="inlineStr">
        <x:is>
          <x:t xml:space="preserve">SUT-HSP-005</x:t>
        </x:is>
      </x:c>
      <x:c r="G39" t="inlineStr">
        <x:is>
          <x:t xml:space="preserve">Heat Spray</x:t>
        </x:is>
      </x:c>
      <x:c r="H39" t="inlineStr">
        <x:is>
          <x:t xml:space="preserve">Styling</x:t>
        </x:is>
      </x:c>
      <x:c r="I39" t="inlineStr">
        <x:is>
          <x:t xml:space="preserve">Isaac</x:t>
        </x:is>
      </x:c>
      <x:c r="J39" t="n">
        <x:v>1</x:v>
      </x:c>
      <x:c r="K39" t="n">
        <x:v>9.5</x:v>
      </x:c>
      <x:c r="L39" t="n">
        <x:v>24</x:v>
      </x:c>
      <x:c r="M39" t="n">
        <x:v>0</x:v>
      </x:c>
      <x:c r="N39" t="n">
        <x:f>J39*L39*(1-M39)</x:f>
        <x:v>24</x:v>
      </x:c>
      <x:c r="O39" t="n">
        <x:f>J39*K39</x:f>
        <x:v>9.5</x:v>
      </x:c>
      <x:c r="P39" t="n">
        <x:f>N39-O39</x:f>
        <x:v>14.5</x:v>
      </x:c>
      <x:c r="Q39" t="n">
        <x:f>IF(N39=0,0,P39/N39)</x:f>
        <x:v>0.6041666666666666</x:v>
      </x:c>
      <x:c r="R39" t="inlineStr">
        <x:is>
          <x:t xml:space="preserve">Gift Card</x:t>
        </x:is>
      </x:c>
      <x:c r="S39" t="inlineStr">
        <x:is>
          <x:t xml:space="preserve">Post-Service Retail</x:t>
        </x:is>
      </x:c>
    </x:row>
    <x:row r="40">
      <x:c r="A40" t="inlineStr">
        <x:is>
          <x:t xml:space="preserve">TRX-0039</x:t>
        </x:is>
      </x:c>
      <x:c r="B40" t="n">
        <x:v>46131</x:v>
      </x:c>
      <x:c r="C40" t="inlineStr">
        <x:is>
          <x:t xml:space="preserve">CG-001</x:t>
        </x:is>
      </x:c>
      <x:c r="D40" t="inlineStr">
        <x:is>
          <x:t xml:space="preserve">Gabriel Samra Coral Gables</x:t>
        </x:is>
      </x:c>
      <x:c r="E40" t="inlineStr">
        <x:is>
          <x:t xml:space="preserve">Truss</x:t>
        </x:is>
      </x:c>
      <x:c r="F40" t="inlineStr">
        <x:is>
          <x:t xml:space="preserve">TRU-SHP-001</x:t>
        </x:is>
      </x:c>
      <x:c r="G40" t="inlineStr">
        <x:is>
          <x:t xml:space="preserve">Infusion Shampoo</x:t>
        </x:is>
      </x:c>
      <x:c r="H40" t="inlineStr">
        <x:is>
          <x:t xml:space="preserve">Hair Care</x:t>
        </x:is>
      </x:c>
      <x:c r="I40" t="inlineStr">
        <x:is>
          <x:t xml:space="preserve">Melia</x:t>
        </x:is>
      </x:c>
      <x:c r="J40" t="n">
        <x:v>2</x:v>
      </x:c>
      <x:c r="K40" t="n">
        <x:v>14.5</x:v>
      </x:c>
      <x:c r="L40" t="n">
        <x:v>32</x:v>
      </x:c>
      <x:c r="M40" t="n">
        <x:v>0</x:v>
      </x:c>
      <x:c r="N40" t="n">
        <x:f>J40*L40*(1-M40)</x:f>
        <x:v>64</x:v>
      </x:c>
      <x:c r="O40" t="n">
        <x:f>J40*K40</x:f>
        <x:v>29</x:v>
      </x:c>
      <x:c r="P40" t="n">
        <x:f>N40-O40</x:f>
        <x:v>35</x:v>
      </x:c>
      <x:c r="Q40" t="n">
        <x:f>IF(N40=0,0,P40/N40)</x:f>
        <x:v>0.546875</x:v>
      </x:c>
      <x:c r="R40" t="inlineStr">
        <x:is>
          <x:t xml:space="preserve">Cash</x:t>
        </x:is>
      </x:c>
      <x:c r="S40" t="inlineStr">
        <x:is>
          <x:t xml:space="preserve">Post-Service Retail</x:t>
        </x:is>
      </x:c>
    </x:row>
    <x:row r="41">
      <x:c r="A41" t="inlineStr">
        <x:is>
          <x:t xml:space="preserve">TRX-0040</x:t>
        </x:is>
      </x:c>
      <x:c r="B41" t="n">
        <x:v>46132</x:v>
      </x:c>
      <x:c r="C41" t="inlineStr">
        <x:is>
          <x:t xml:space="preserve">DR-001</x:t>
        </x:is>
      </x:c>
      <x:c r="D41" t="inlineStr">
        <x:is>
          <x:t xml:space="preserve">Gabriel Samra Doral</x:t>
        </x:is>
      </x:c>
      <x:c r="E41" t="inlineStr">
        <x:is>
          <x:t xml:space="preserve">Truss</x:t>
        </x:is>
      </x:c>
      <x:c r="F41" t="inlineStr">
        <x:is>
          <x:t xml:space="preserve">TRU-MSK-003</x:t>
        </x:is>
      </x:c>
      <x:c r="G41" t="inlineStr">
        <x:is>
          <x:t xml:space="preserve">Net Mask</x:t>
        </x:is>
      </x:c>
      <x:c r="H41" t="inlineStr">
        <x:is>
          <x:t xml:space="preserve">Treatment</x:t>
        </x:is>
      </x:c>
      <x:c r="I41" t="inlineStr">
        <x:is>
          <x:t xml:space="preserve">Isaac</x:t>
        </x:is>
      </x:c>
      <x:c r="J41" t="n">
        <x:v>1</x:v>
      </x:c>
      <x:c r="K41" t="n">
        <x:v>20</x:v>
      </x:c>
      <x:c r="L41" t="n">
        <x:v>45</x:v>
      </x:c>
      <x:c r="M41" t="n">
        <x:v>0</x:v>
      </x:c>
      <x:c r="N41" t="n">
        <x:f>J41*L41*(1-M41)</x:f>
        <x:v>45</x:v>
      </x:c>
      <x:c r="O41" t="n">
        <x:f>J41*K41</x:f>
        <x:v>20</x:v>
      </x:c>
      <x:c r="P41" t="n">
        <x:f>N41-O41</x:f>
        <x:v>25</x:v>
      </x:c>
      <x:c r="Q41" t="n">
        <x:f>IF(N41=0,0,P41/N41)</x:f>
        <x:v>0.5555555555555556</x:v>
      </x:c>
      <x:c r="R41" t="inlineStr">
        <x:is>
          <x:t xml:space="preserve">Card</x:t>
        </x:is>
      </x:c>
      <x:c r="S41" t="inlineStr">
        <x:is>
          <x:t xml:space="preserve">Post-Service Retail</x:t>
        </x:is>
      </x:c>
    </x:row>
    <x:row r="42">
      <x:c r="A42" t="inlineStr">
        <x:is>
          <x:t xml:space="preserve">TRX-0041</x:t>
        </x:is>
      </x:c>
      <x:c r="B42" t="n">
        <x:v>46133</x:v>
      </x:c>
      <x:c r="C42" t="inlineStr">
        <x:is>
          <x:t xml:space="preserve">CG-001</x:t>
        </x:is>
      </x:c>
      <x:c r="D42" t="inlineStr">
        <x:is>
          <x:t xml:space="preserve">Gabriel Samra Coral Gables</x:t>
        </x:is>
      </x:c>
      <x:c r="E42" t="inlineStr">
        <x:is>
          <x:t xml:space="preserve">Sutra</x:t>
        </x:is>
      </x:c>
      <x:c r="F42" t="inlineStr">
        <x:is>
          <x:t xml:space="preserve">SUT-HSP-005</x:t>
        </x:is>
      </x:c>
      <x:c r="G42" t="inlineStr">
        <x:is>
          <x:t xml:space="preserve">Heat Spray</x:t>
        </x:is>
      </x:c>
      <x:c r="H42" t="inlineStr">
        <x:is>
          <x:t xml:space="preserve">Styling</x:t>
        </x:is>
      </x:c>
      <x:c r="I42" t="inlineStr">
        <x:is>
          <x:t xml:space="preserve">Melia</x:t>
        </x:is>
      </x:c>
      <x:c r="J42" t="n">
        <x:v>1</x:v>
      </x:c>
      <x:c r="K42" t="n">
        <x:v>9.5</x:v>
      </x:c>
      <x:c r="L42" t="n">
        <x:v>24</x:v>
      </x:c>
      <x:c r="M42" t="n">
        <x:v>0</x:v>
      </x:c>
      <x:c r="N42" t="n">
        <x:f>J42*L42*(1-M42)</x:f>
        <x:v>24</x:v>
      </x:c>
      <x:c r="O42" t="n">
        <x:f>J42*K42</x:f>
        <x:v>9.5</x:v>
      </x:c>
      <x:c r="P42" t="n">
        <x:f>N42-O42</x:f>
        <x:v>14.5</x:v>
      </x:c>
      <x:c r="Q42" t="n">
        <x:f>IF(N42=0,0,P42/N42)</x:f>
        <x:v>0.6041666666666666</x:v>
      </x:c>
      <x:c r="R42" t="inlineStr">
        <x:is>
          <x:t xml:space="preserve">Apple Pay</x:t>
        </x:is>
      </x:c>
      <x:c r="S42" t="inlineStr">
        <x:is>
          <x:t xml:space="preserve">Walk-in Client</x:t>
        </x:is>
      </x:c>
    </x:row>
    <x:row r="43">
      <x:c r="A43" t="inlineStr">
        <x:is>
          <x:t xml:space="preserve">TRX-0042</x:t>
        </x:is>
      </x:c>
      <x:c r="B43" t="n">
        <x:v>46113</x:v>
      </x:c>
      <x:c r="C43" t="inlineStr">
        <x:is>
          <x:t xml:space="preserve">CG-001</x:t>
        </x:is>
      </x:c>
      <x:c r="D43" t="inlineStr">
        <x:is>
          <x:t xml:space="preserve">Gabriel Samra Coral Gables</x:t>
        </x:is>
      </x:c>
      <x:c r="E43" t="inlineStr">
        <x:is>
          <x:t xml:space="preserve">Truss</x:t>
        </x:is>
      </x:c>
      <x:c r="F43" t="inlineStr">
        <x:is>
          <x:t xml:space="preserve">TRU-OIL-004</x:t>
        </x:is>
      </x:c>
      <x:c r="G43" t="inlineStr">
        <x:is>
          <x:t xml:space="preserve">Deluxe Prime Oil</x:t>
        </x:is>
      </x:c>
      <x:c r="H43" t="inlineStr">
        <x:is>
          <x:t xml:space="preserve">Finishing</x:t>
        </x:is>
      </x:c>
      <x:c r="I43" t="inlineStr">
        <x:is>
          <x:t xml:space="preserve">Melia</x:t>
        </x:is>
      </x:c>
      <x:c r="J43" t="n">
        <x:v>2</x:v>
      </x:c>
      <x:c r="K43" t="n">
        <x:v>18</x:v>
      </x:c>
      <x:c r="L43" t="n">
        <x:v>42</x:v>
      </x:c>
      <x:c r="M43" t="n">
        <x:v>0.1</x:v>
      </x:c>
      <x:c r="N43" t="n">
        <x:f>J43*L43*(1-M43)</x:f>
        <x:v>75.60000000000001</x:v>
      </x:c>
      <x:c r="O43" t="n">
        <x:f>J43*K43</x:f>
        <x:v>36</x:v>
      </x:c>
      <x:c r="P43" t="n">
        <x:f>N43-O43</x:f>
        <x:v>39.60000000000001</x:v>
      </x:c>
      <x:c r="Q43" t="n">
        <x:f>IF(N43=0,0,P43/N43)</x:f>
        <x:v>0.5238095238095238</x:v>
      </x:c>
      <x:c r="R43" t="inlineStr">
        <x:is>
          <x:t xml:space="preserve">Cash</x:t>
        </x:is>
      </x:c>
      <x:c r="S43" t="inlineStr">
        <x:is>
          <x:t xml:space="preserve">Walk-in Client</x:t>
        </x:is>
      </x:c>
    </x:row>
    <x:row r="44">
      <x:c r="A44" t="inlineStr">
        <x:is>
          <x:t xml:space="preserve">TRX-0043</x:t>
        </x:is>
      </x:c>
      <x:c r="B44" t="n">
        <x:v>46128</x:v>
      </x:c>
      <x:c r="C44" t="inlineStr">
        <x:is>
          <x:t xml:space="preserve">CG-001</x:t>
        </x:is>
      </x:c>
      <x:c r="D44" t="inlineStr">
        <x:is>
          <x:t xml:space="preserve">Gabriel Samra Coral Gables</x:t>
        </x:is>
      </x:c>
      <x:c r="E44" t="inlineStr">
        <x:is>
          <x:t xml:space="preserve">Truss</x:t>
        </x:is>
      </x:c>
      <x:c r="F44" t="inlineStr">
        <x:is>
          <x:t xml:space="preserve">TRU-MSK-003</x:t>
        </x:is>
      </x:c>
      <x:c r="G44" t="inlineStr">
        <x:is>
          <x:t xml:space="preserve">Net Mask</x:t>
        </x:is>
      </x:c>
      <x:c r="H44" t="inlineStr">
        <x:is>
          <x:t xml:space="preserve">Treatment</x:t>
        </x:is>
      </x:c>
      <x:c r="I44" t="inlineStr">
        <x:is>
          <x:t xml:space="preserve">Melia</x:t>
        </x:is>
      </x:c>
      <x:c r="J44" t="n">
        <x:v>1</x:v>
      </x:c>
      <x:c r="K44" t="n">
        <x:v>20</x:v>
      </x:c>
      <x:c r="L44" t="n">
        <x:v>45</x:v>
      </x:c>
      <x:c r="M44" t="n">
        <x:v>0.05</x:v>
      </x:c>
      <x:c r="N44" t="n">
        <x:f>J44*L44*(1-M44)</x:f>
        <x:v>42.75</x:v>
      </x:c>
      <x:c r="O44" t="n">
        <x:f>J44*K44</x:f>
        <x:v>20</x:v>
      </x:c>
      <x:c r="P44" t="n">
        <x:f>N44-O44</x:f>
        <x:v>22.75</x:v>
      </x:c>
      <x:c r="Q44" t="n">
        <x:f>IF(N44=0,0,P44/N44)</x:f>
        <x:v>0.5321637426900585</x:v>
      </x:c>
      <x:c r="R44" t="inlineStr">
        <x:is>
          <x:t xml:space="preserve">Gift Card</x:t>
        </x:is>
      </x:c>
      <x:c r="S44" t="inlineStr">
        <x:is>
          <x:t xml:space="preserve">Walk-in Client</x:t>
        </x:is>
      </x:c>
    </x:row>
    <x:row r="45">
      <x:c r="A45" t="inlineStr">
        <x:is>
          <x:t xml:space="preserve">TRX-0044</x:t>
        </x:is>
      </x:c>
      <x:c r="B45" t="n">
        <x:v>46050</x:v>
      </x:c>
      <x:c r="C45" t="inlineStr">
        <x:is>
          <x:t xml:space="preserve">CG-001</x:t>
        </x:is>
      </x:c>
      <x:c r="D45" t="inlineStr">
        <x:is>
          <x:t xml:space="preserve">Gabriel Samra Coral Gables</x:t>
        </x:is>
      </x:c>
      <x:c r="E45" t="inlineStr">
        <x:is>
          <x:t xml:space="preserve">Truss</x:t>
        </x:is>
      </x:c>
      <x:c r="F45" t="inlineStr">
        <x:is>
          <x:t xml:space="preserve">TRU-SER-005</x:t>
        </x:is>
      </x:c>
      <x:c r="G45" t="inlineStr">
        <x:is>
          <x:t xml:space="preserve">Night Spa Serum</x:t>
        </x:is>
      </x:c>
      <x:c r="H45" t="inlineStr">
        <x:is>
          <x:t xml:space="preserve">Treatment</x:t>
        </x:is>
      </x:c>
      <x:c r="I45" t="inlineStr">
        <x:is>
          <x:t xml:space="preserve">Magaly</x:t>
        </x:is>
      </x:c>
      <x:c r="J45" t="n">
        <x:v>1</x:v>
      </x:c>
      <x:c r="K45" t="n">
        <x:v>19.75</x:v>
      </x:c>
      <x:c r="L45" t="n">
        <x:v>48</x:v>
      </x:c>
      <x:c r="M45" t="n">
        <x:v>0</x:v>
      </x:c>
      <x:c r="N45" t="n">
        <x:f>J45*L45*(1-M45)</x:f>
        <x:v>48</x:v>
      </x:c>
      <x:c r="O45" t="n">
        <x:f>J45*K45</x:f>
        <x:v>19.75</x:v>
      </x:c>
      <x:c r="P45" t="n">
        <x:f>N45-O45</x:f>
        <x:v>28.25</x:v>
      </x:c>
      <x:c r="Q45" t="n">
        <x:f>IF(N45=0,0,P45/N45)</x:f>
        <x:v>0.5885416666666666</x:v>
      </x:c>
      <x:c r="R45" t="inlineStr">
        <x:is>
          <x:t xml:space="preserve">Cash</x:t>
        </x:is>
      </x:c>
      <x:c r="S45" t="inlineStr">
        <x:is>
          <x:t xml:space="preserve">Walk-in Client</x:t>
        </x:is>
      </x:c>
    </x:row>
    <x:row r="46">
      <x:c r="A46" t="inlineStr">
        <x:is>
          <x:t xml:space="preserve">TRX-0045</x:t>
        </x:is>
      </x:c>
      <x:c r="B46" t="n">
        <x:v>46101</x:v>
      </x:c>
      <x:c r="C46" t="inlineStr">
        <x:is>
          <x:t xml:space="preserve">DR-001</x:t>
        </x:is>
      </x:c>
      <x:c r="D46" t="inlineStr">
        <x:is>
          <x:t xml:space="preserve">Gabriel Samra Doral</x:t>
        </x:is>
      </x:c>
      <x:c r="E46" t="inlineStr">
        <x:is>
          <x:t xml:space="preserve">Sutra</x:t>
        </x:is>
      </x:c>
      <x:c r="F46" t="inlineStr">
        <x:is>
          <x:t xml:space="preserve">SUT-BLO-003</x:t>
        </x:is>
      </x:c>
      <x:c r="G46" t="inlineStr">
        <x:is>
          <x:t xml:space="preserve">Blowout Brush</x:t>
        </x:is>
      </x:c>
      <x:c r="H46" t="inlineStr">
        <x:is>
          <x:t xml:space="preserve">Hot Tools</x:t>
        </x:is>
      </x:c>
      <x:c r="I46" t="inlineStr">
        <x:is>
          <x:t xml:space="preserve">Isaac</x:t>
        </x:is>
      </x:c>
      <x:c r="J46" t="n">
        <x:v>2</x:v>
      </x:c>
      <x:c r="K46" t="n">
        <x:v>48</x:v>
      </x:c>
      <x:c r="L46" t="n">
        <x:v>119</x:v>
      </x:c>
      <x:c r="M46" t="n">
        <x:v>0.1</x:v>
      </x:c>
      <x:c r="N46" t="n">
        <x:f>J46*L46*(1-M46)</x:f>
        <x:v>214.20000000000002</x:v>
      </x:c>
      <x:c r="O46" t="n">
        <x:f>J46*K46</x:f>
        <x:v>96</x:v>
      </x:c>
      <x:c r="P46" t="n">
        <x:f>N46-O46</x:f>
        <x:v>118.20000000000002</x:v>
      </x:c>
      <x:c r="Q46" t="n">
        <x:f>IF(N46=0,0,P46/N46)</x:f>
        <x:v>0.5518207282913166</x:v>
      </x:c>
      <x:c r="R46" t="inlineStr">
        <x:is>
          <x:t xml:space="preserve">Card</x:t>
        </x:is>
      </x:c>
      <x:c r="S46" t="inlineStr">
        <x:is>
          <x:t xml:space="preserve">Walk-in Client</x:t>
        </x:is>
      </x:c>
    </x:row>
    <x:row r="47">
      <x:c r="A47" t="inlineStr">
        <x:is>
          <x:t xml:space="preserve">TRX-0046</x:t>
        </x:is>
      </x:c>
      <x:c r="B47" t="n">
        <x:v>46094</x:v>
      </x:c>
      <x:c r="C47" t="inlineStr">
        <x:is>
          <x:t xml:space="preserve">DR-001</x:t>
        </x:is>
      </x:c>
      <x:c r="D47" t="inlineStr">
        <x:is>
          <x:t xml:space="preserve">Gabriel Samra Doral</x:t>
        </x:is>
      </x:c>
      <x:c r="E47" t="inlineStr">
        <x:is>
          <x:t xml:space="preserve">Sutra</x:t>
        </x:is>
      </x:c>
      <x:c r="F47" t="inlineStr">
        <x:is>
          <x:t xml:space="preserve">SUT-CUR-002</x:t>
        </x:is>
      </x:c>
      <x:c r="G47" t="inlineStr">
        <x:is>
          <x:t xml:space="preserve">Clipless Curling Iron</x:t>
        </x:is>
      </x:c>
      <x:c r="H47" t="inlineStr">
        <x:is>
          <x:t xml:space="preserve">Hot Tools</x:t>
        </x:is>
      </x:c>
      <x:c r="I47" t="inlineStr">
        <x:is>
          <x:t xml:space="preserve">Isaac</x:t>
        </x:is>
      </x:c>
      <x:c r="J47" t="n">
        <x:v>2</x:v>
      </x:c>
      <x:c r="K47" t="n">
        <x:v>42</x:v>
      </x:c>
      <x:c r="L47" t="n">
        <x:v>99</x:v>
      </x:c>
      <x:c r="M47" t="n">
        <x:v>0.1</x:v>
      </x:c>
      <x:c r="N47" t="n">
        <x:f>J47*L47*(1-M47)</x:f>
        <x:v>178.20000000000002</x:v>
      </x:c>
      <x:c r="O47" t="n">
        <x:f>J47*K47</x:f>
        <x:v>84</x:v>
      </x:c>
      <x:c r="P47" t="n">
        <x:f>N47-O47</x:f>
        <x:v>94.20000000000002</x:v>
      </x:c>
      <x:c r="Q47" t="n">
        <x:f>IF(N47=0,0,P47/N47)</x:f>
        <x:v>0.5286195286195287</x:v>
      </x:c>
      <x:c r="R47" t="inlineStr">
        <x:is>
          <x:t xml:space="preserve">Apple Pay</x:t>
        </x:is>
      </x:c>
      <x:c r="S47" t="inlineStr">
        <x:is>
          <x:t xml:space="preserve">Stylist Recommendation</x:t>
        </x:is>
      </x:c>
    </x:row>
    <x:row r="48">
      <x:c r="A48" t="inlineStr">
        <x:is>
          <x:t xml:space="preserve">TRX-0047</x:t>
        </x:is>
      </x:c>
      <x:c r="B48" t="n">
        <x:v>46030</x:v>
      </x:c>
      <x:c r="C48" t="inlineStr">
        <x:is>
          <x:t xml:space="preserve">DR-001</x:t>
        </x:is>
      </x:c>
      <x:c r="D48" t="inlineStr">
        <x:is>
          <x:t xml:space="preserve">Gabriel Samra Doral</x:t>
        </x:is>
      </x:c>
      <x:c r="E48" t="inlineStr">
        <x:is>
          <x:t xml:space="preserve">Sutra</x:t>
        </x:is>
      </x:c>
      <x:c r="F48" t="inlineStr">
        <x:is>
          <x:t xml:space="preserve">SUT-DRY-004</x:t>
        </x:is>
      </x:c>
      <x:c r="G48" t="inlineStr">
        <x:is>
          <x:t xml:space="preserve">Professional Hair Dryer</x:t>
        </x:is>
      </x:c>
      <x:c r="H48" t="inlineStr">
        <x:is>
          <x:t xml:space="preserve">Hot Tools</x:t>
        </x:is>
      </x:c>
      <x:c r="I48" t="inlineStr">
        <x:is>
          <x:t xml:space="preserve">Isaac</x:t>
        </x:is>
      </x:c>
      <x:c r="J48" t="n">
        <x:v>1</x:v>
      </x:c>
      <x:c r="K48" t="n">
        <x:v>62</x:v>
      </x:c>
      <x:c r="L48" t="n">
        <x:v>149</x:v>
      </x:c>
      <x:c r="M48" t="n">
        <x:v>0.15</x:v>
      </x:c>
      <x:c r="N48" t="n">
        <x:f>J48*L48*(1-M48)</x:f>
        <x:v>126.64999999999999</x:v>
      </x:c>
      <x:c r="O48" t="n">
        <x:f>J48*K48</x:f>
        <x:v>62</x:v>
      </x:c>
      <x:c r="P48" t="n">
        <x:f>N48-O48</x:f>
        <x:v>64.64999999999999</x:v>
      </x:c>
      <x:c r="Q48" t="n">
        <x:f>IF(N48=0,0,P48/N48)</x:f>
        <x:v>0.5104619028819581</x:v>
      </x:c>
      <x:c r="R48" t="inlineStr">
        <x:is>
          <x:t xml:space="preserve">Apple Pay</x:t>
        </x:is>
      </x:c>
      <x:c r="S48" t="inlineStr">
        <x:is>
          <x:t xml:space="preserve">Existing Client</x:t>
        </x:is>
      </x:c>
    </x:row>
    <x:row r="49">
      <x:c r="A49" t="inlineStr">
        <x:is>
          <x:t xml:space="preserve">TRX-0048</x:t>
        </x:is>
      </x:c>
      <x:c r="B49" t="n">
        <x:v>46111</x:v>
      </x:c>
      <x:c r="C49" t="inlineStr">
        <x:is>
          <x:t xml:space="preserve">DR-001</x:t>
        </x:is>
      </x:c>
      <x:c r="D49" t="inlineStr">
        <x:is>
          <x:t xml:space="preserve">Gabriel Samra Doral</x:t>
        </x:is>
      </x:c>
      <x:c r="E49" t="inlineStr">
        <x:is>
          <x:t xml:space="preserve">Truss</x:t>
        </x:is>
      </x:c>
      <x:c r="F49" t="inlineStr">
        <x:is>
          <x:t xml:space="preserve">TRU-CND-002</x:t>
        </x:is>
      </x:c>
      <x:c r="G49" t="inlineStr">
        <x:is>
          <x:t xml:space="preserve">Infusion Conditioner</x:t>
        </x:is>
      </x:c>
      <x:c r="H49" t="inlineStr">
        <x:is>
          <x:t xml:space="preserve">Hair Care</x:t>
        </x:is>
      </x:c>
      <x:c r="I49" t="inlineStr">
        <x:is>
          <x:t xml:space="preserve">Magaly</x:t>
        </x:is>
      </x:c>
      <x:c r="J49" t="n">
        <x:v>1</x:v>
      </x:c>
      <x:c r="K49" t="n">
        <x:v>15.25</x:v>
      </x:c>
      <x:c r="L49" t="n">
        <x:v>34</x:v>
      </x:c>
      <x:c r="M49" t="n">
        <x:v>0</x:v>
      </x:c>
      <x:c r="N49" t="n">
        <x:f>J49*L49*(1-M49)</x:f>
        <x:v>34</x:v>
      </x:c>
      <x:c r="O49" t="n">
        <x:f>J49*K49</x:f>
        <x:v>15.25</x:v>
      </x:c>
      <x:c r="P49" t="n">
        <x:f>N49-O49</x:f>
        <x:v>18.75</x:v>
      </x:c>
      <x:c r="Q49" t="n">
        <x:f>IF(N49=0,0,P49/N49)</x:f>
        <x:v>0.5514705882352942</x:v>
      </x:c>
      <x:c r="R49" t="inlineStr">
        <x:is>
          <x:t xml:space="preserve">Gift Card</x:t>
        </x:is>
      </x:c>
      <x:c r="S49" t="inlineStr">
        <x:is>
          <x:t xml:space="preserve">Walk-in Client</x:t>
        </x:is>
      </x:c>
    </x:row>
    <x:row r="50">
      <x:c r="A50" t="inlineStr">
        <x:is>
          <x:t xml:space="preserve">TRX-0049</x:t>
        </x:is>
      </x:c>
      <x:c r="B50" t="n">
        <x:v>46134</x:v>
      </x:c>
      <x:c r="C50" t="inlineStr">
        <x:is>
          <x:t xml:space="preserve">CG-001</x:t>
        </x:is>
      </x:c>
      <x:c r="D50" t="inlineStr">
        <x:is>
          <x:t xml:space="preserve">Gabriel Samra Coral Gables</x:t>
        </x:is>
      </x:c>
      <x:c r="E50" t="inlineStr">
        <x:is>
          <x:t xml:space="preserve">Truss</x:t>
        </x:is>
      </x:c>
      <x:c r="F50" t="inlineStr">
        <x:is>
          <x:t xml:space="preserve">TRU-SER-005</x:t>
        </x:is>
      </x:c>
      <x:c r="G50" t="inlineStr">
        <x:is>
          <x:t xml:space="preserve">Night Spa Serum</x:t>
        </x:is>
      </x:c>
      <x:c r="H50" t="inlineStr">
        <x:is>
          <x:t xml:space="preserve">Treatment</x:t>
        </x:is>
      </x:c>
      <x:c r="I50" t="inlineStr">
        <x:is>
          <x:t xml:space="preserve">Isaac</x:t>
        </x:is>
      </x:c>
      <x:c r="J50" t="n">
        <x:v>1</x:v>
      </x:c>
      <x:c r="K50" t="n">
        <x:v>19.75</x:v>
      </x:c>
      <x:c r="L50" t="n">
        <x:v>48</x:v>
      </x:c>
      <x:c r="M50" t="n">
        <x:v>0.1</x:v>
      </x:c>
      <x:c r="N50" t="n">
        <x:f>J50*L50*(1-M50)</x:f>
        <x:v>43.2</x:v>
      </x:c>
      <x:c r="O50" t="n">
        <x:f>J50*K50</x:f>
        <x:v>19.75</x:v>
      </x:c>
      <x:c r="P50" t="n">
        <x:f>N50-O50</x:f>
        <x:v>23.450000000000003</x:v>
      </x:c>
      <x:c r="Q50" t="n">
        <x:f>IF(N50=0,0,P50/N50)</x:f>
        <x:v>0.5428240740740741</x:v>
      </x:c>
      <x:c r="R50" t="inlineStr">
        <x:is>
          <x:t xml:space="preserve">Apple Pay</x:t>
        </x:is>
      </x:c>
      <x:c r="S50" t="inlineStr">
        <x:is>
          <x:t xml:space="preserve">Stylist Recommendation</x:t>
        </x:is>
      </x:c>
    </x:row>
    <x:row r="51">
      <x:c r="A51" t="inlineStr">
        <x:is>
          <x:t xml:space="preserve">TRX-0050</x:t>
        </x:is>
      </x:c>
      <x:c r="B51" t="n">
        <x:v>46103</x:v>
      </x:c>
      <x:c r="C51" t="inlineStr">
        <x:is>
          <x:t xml:space="preserve">DR-001</x:t>
        </x:is>
      </x:c>
      <x:c r="D51" t="inlineStr">
        <x:is>
          <x:t xml:space="preserve">Gabriel Samra Doral</x:t>
        </x:is>
      </x:c>
      <x:c r="E51" t="inlineStr">
        <x:is>
          <x:t xml:space="preserve">Truss</x:t>
        </x:is>
      </x:c>
      <x:c r="F51" t="inlineStr">
        <x:is>
          <x:t xml:space="preserve">TRU-CND-002</x:t>
        </x:is>
      </x:c>
      <x:c r="G51" t="inlineStr">
        <x:is>
          <x:t xml:space="preserve">Infusion Conditioner</x:t>
        </x:is>
      </x:c>
      <x:c r="H51" t="inlineStr">
        <x:is>
          <x:t xml:space="preserve">Hair Care</x:t>
        </x:is>
      </x:c>
      <x:c r="I51" t="inlineStr">
        <x:is>
          <x:t xml:space="preserve">Isaac</x:t>
        </x:is>
      </x:c>
      <x:c r="J51" t="n">
        <x:v>1</x:v>
      </x:c>
      <x:c r="K51" t="n">
        <x:v>15.25</x:v>
      </x:c>
      <x:c r="L51" t="n">
        <x:v>34</x:v>
      </x:c>
      <x:c r="M51" t="n">
        <x:v>0</x:v>
      </x:c>
      <x:c r="N51" t="n">
        <x:f>J51*L51*(1-M51)</x:f>
        <x:v>34</x:v>
      </x:c>
      <x:c r="O51" t="n">
        <x:f>J51*K51</x:f>
        <x:v>15.25</x:v>
      </x:c>
      <x:c r="P51" t="n">
        <x:f>N51-O51</x:f>
        <x:v>18.75</x:v>
      </x:c>
      <x:c r="Q51" t="n">
        <x:f>IF(N51=0,0,P51/N51)</x:f>
        <x:v>0.5514705882352942</x:v>
      </x:c>
      <x:c r="R51" t="inlineStr">
        <x:is>
          <x:t xml:space="preserve">Apple Pay</x:t>
        </x:is>
      </x:c>
      <x:c r="S51" t="inlineStr">
        <x:is>
          <x:t xml:space="preserve">Stylist Recommendation</x:t>
        </x:is>
      </x:c>
    </x:row>
    <x:row r="52">
      <x:c r="A52" t="inlineStr">
        <x:is>
          <x:t xml:space="preserve">TRX-0051</x:t>
        </x:is>
      </x:c>
      <x:c r="B52" t="n">
        <x:v>46098</x:v>
      </x:c>
      <x:c r="C52" t="inlineStr">
        <x:is>
          <x:t xml:space="preserve">DR-001</x:t>
        </x:is>
      </x:c>
      <x:c r="D52" t="inlineStr">
        <x:is>
          <x:t xml:space="preserve">Gabriel Samra Doral</x:t>
        </x:is>
      </x:c>
      <x:c r="E52" t="inlineStr">
        <x:is>
          <x:t xml:space="preserve">Sutra</x:t>
        </x:is>
      </x:c>
      <x:c r="F52" t="inlineStr">
        <x:is>
          <x:t xml:space="preserve">SUT-FIR-001</x:t>
        </x:is>
      </x:c>
      <x:c r="G52" t="inlineStr">
        <x:is>
          <x:t xml:space="preserve">Mini Flat Iron</x:t>
        </x:is>
      </x:c>
      <x:c r="H52" t="inlineStr">
        <x:is>
          <x:t xml:space="preserve">Hot Tools</x:t>
        </x:is>
      </x:c>
      <x:c r="I52" t="inlineStr">
        <x:is>
          <x:t xml:space="preserve">Melia</x:t>
        </x:is>
      </x:c>
      <x:c r="J52" t="n">
        <x:v>1</x:v>
      </x:c>
      <x:c r="K52" t="n">
        <x:v>38</x:v>
      </x:c>
      <x:c r="L52" t="n">
        <x:v>89</x:v>
      </x:c>
      <x:c r="M52" t="n">
        <x:v>0</x:v>
      </x:c>
      <x:c r="N52" t="n">
        <x:f>J52*L52*(1-M52)</x:f>
        <x:v>89</x:v>
      </x:c>
      <x:c r="O52" t="n">
        <x:f>J52*K52</x:f>
        <x:v>38</x:v>
      </x:c>
      <x:c r="P52" t="n">
        <x:f>N52-O52</x:f>
        <x:v>51</x:v>
      </x:c>
      <x:c r="Q52" t="n">
        <x:f>IF(N52=0,0,P52/N52)</x:f>
        <x:v>0.5730337078651685</x:v>
      </x:c>
      <x:c r="R52" t="inlineStr">
        <x:is>
          <x:t xml:space="preserve">Cash</x:t>
        </x:is>
      </x:c>
      <x:c r="S52" t="inlineStr">
        <x:is>
          <x:t xml:space="preserve">Post-Service Retail</x:t>
        </x:is>
      </x:c>
    </x:row>
    <x:row r="53">
      <x:c r="A53" t="inlineStr">
        <x:is>
          <x:t xml:space="preserve">TRX-0052</x:t>
        </x:is>
      </x:c>
      <x:c r="B53" t="n">
        <x:v>46100</x:v>
      </x:c>
      <x:c r="C53" t="inlineStr">
        <x:is>
          <x:t xml:space="preserve">CG-001</x:t>
        </x:is>
      </x:c>
      <x:c r="D53" t="inlineStr">
        <x:is>
          <x:t xml:space="preserve">Gabriel Samra Coral Gables</x:t>
        </x:is>
      </x:c>
      <x:c r="E53" t="inlineStr">
        <x:is>
          <x:t xml:space="preserve">Sutra</x:t>
        </x:is>
      </x:c>
      <x:c r="F53" t="inlineStr">
        <x:is>
          <x:t xml:space="preserve">SUT-CUR-002</x:t>
        </x:is>
      </x:c>
      <x:c r="G53" t="inlineStr">
        <x:is>
          <x:t xml:space="preserve">Clipless Curling Iron</x:t>
        </x:is>
      </x:c>
      <x:c r="H53" t="inlineStr">
        <x:is>
          <x:t xml:space="preserve">Hot Tools</x:t>
        </x:is>
      </x:c>
      <x:c r="I53" t="inlineStr">
        <x:is>
          <x:t xml:space="preserve">Melia</x:t>
        </x:is>
      </x:c>
      <x:c r="J53" t="n">
        <x:v>1</x:v>
      </x:c>
      <x:c r="K53" t="n">
        <x:v>42</x:v>
      </x:c>
      <x:c r="L53" t="n">
        <x:v>99</x:v>
      </x:c>
      <x:c r="M53" t="n">
        <x:v>0</x:v>
      </x:c>
      <x:c r="N53" t="n">
        <x:f>J53*L53*(1-M53)</x:f>
        <x:v>99</x:v>
      </x:c>
      <x:c r="O53" t="n">
        <x:f>J53*K53</x:f>
        <x:v>42</x:v>
      </x:c>
      <x:c r="P53" t="n">
        <x:f>N53-O53</x:f>
        <x:v>57</x:v>
      </x:c>
      <x:c r="Q53" t="n">
        <x:f>IF(N53=0,0,P53/N53)</x:f>
        <x:v>0.5757575757575758</x:v>
      </x:c>
      <x:c r="R53" t="inlineStr">
        <x:is>
          <x:t xml:space="preserve">Gift Card</x:t>
        </x:is>
      </x:c>
      <x:c r="S53" t="inlineStr">
        <x:is>
          <x:t xml:space="preserve">Stylist Recommendation</x:t>
        </x:is>
      </x:c>
    </x:row>
    <x:row r="54">
      <x:c r="A54" t="inlineStr">
        <x:is>
          <x:t xml:space="preserve">TRX-0053</x:t>
        </x:is>
      </x:c>
      <x:c r="B54" t="n">
        <x:v>46153</x:v>
      </x:c>
      <x:c r="C54" t="inlineStr">
        <x:is>
          <x:t xml:space="preserve">CG-001</x:t>
        </x:is>
      </x:c>
      <x:c r="D54" t="inlineStr">
        <x:is>
          <x:t xml:space="preserve">Gabriel Samra Coral Gables</x:t>
        </x:is>
      </x:c>
      <x:c r="E54" t="inlineStr">
        <x:is>
          <x:t xml:space="preserve">Sutra</x:t>
        </x:is>
      </x:c>
      <x:c r="F54" t="inlineStr">
        <x:is>
          <x:t xml:space="preserve">SUT-BLO-003</x:t>
        </x:is>
      </x:c>
      <x:c r="G54" t="inlineStr">
        <x:is>
          <x:t xml:space="preserve">Blowout Brush</x:t>
        </x:is>
      </x:c>
      <x:c r="H54" t="inlineStr">
        <x:is>
          <x:t xml:space="preserve">Hot Tools</x:t>
        </x:is>
      </x:c>
      <x:c r="I54" t="inlineStr">
        <x:is>
          <x:t xml:space="preserve">Isaac</x:t>
        </x:is>
      </x:c>
      <x:c r="J54" t="n">
        <x:v>1</x:v>
      </x:c>
      <x:c r="K54" t="n">
        <x:v>48</x:v>
      </x:c>
      <x:c r="L54" t="n">
        <x:v>119</x:v>
      </x:c>
      <x:c r="M54" t="n">
        <x:v>0.1</x:v>
      </x:c>
      <x:c r="N54" t="n">
        <x:f>J54*L54*(1-M54)</x:f>
        <x:v>107.10000000000001</x:v>
      </x:c>
      <x:c r="O54" t="n">
        <x:f>J54*K54</x:f>
        <x:v>48</x:v>
      </x:c>
      <x:c r="P54" t="n">
        <x:f>N54-O54</x:f>
        <x:v>59.10000000000001</x:v>
      </x:c>
      <x:c r="Q54" t="n">
        <x:f>IF(N54=0,0,P54/N54)</x:f>
        <x:v>0.5518207282913166</x:v>
      </x:c>
      <x:c r="R54" t="inlineStr">
        <x:is>
          <x:t xml:space="preserve">Card</x:t>
        </x:is>
      </x:c>
      <x:c r="S54" t="inlineStr">
        <x:is>
          <x:t xml:space="preserve">Post-Service Retail</x:t>
        </x:is>
      </x:c>
    </x:row>
    <x:row r="55">
      <x:c r="A55" t="inlineStr">
        <x:is>
          <x:t xml:space="preserve">TRX-0054</x:t>
        </x:is>
      </x:c>
      <x:c r="B55" t="n">
        <x:v>46046</x:v>
      </x:c>
      <x:c r="C55" t="inlineStr">
        <x:is>
          <x:t xml:space="preserve">DR-001</x:t>
        </x:is>
      </x:c>
      <x:c r="D55" t="inlineStr">
        <x:is>
          <x:t xml:space="preserve">Gabriel Samra Doral</x:t>
        </x:is>
      </x:c>
      <x:c r="E55" t="inlineStr">
        <x:is>
          <x:t xml:space="preserve">Sutra</x:t>
        </x:is>
      </x:c>
      <x:c r="F55" t="inlineStr">
        <x:is>
          <x:t xml:space="preserve">SUT-DRY-004</x:t>
        </x:is>
      </x:c>
      <x:c r="G55" t="inlineStr">
        <x:is>
          <x:t xml:space="preserve">Professional Hair Dryer</x:t>
        </x:is>
      </x:c>
      <x:c r="H55" t="inlineStr">
        <x:is>
          <x:t xml:space="preserve">Hot Tools</x:t>
        </x:is>
      </x:c>
      <x:c r="I55" t="inlineStr">
        <x:is>
          <x:t xml:space="preserve">Isaac</x:t>
        </x:is>
      </x:c>
      <x:c r="J55" t="n">
        <x:v>2</x:v>
      </x:c>
      <x:c r="K55" t="n">
        <x:v>62</x:v>
      </x:c>
      <x:c r="L55" t="n">
        <x:v>149</x:v>
      </x:c>
      <x:c r="M55" t="n">
        <x:v>0.05</x:v>
      </x:c>
      <x:c r="N55" t="n">
        <x:f>J55*L55*(1-M55)</x:f>
        <x:v>283.09999999999997</x:v>
      </x:c>
      <x:c r="O55" t="n">
        <x:f>J55*K55</x:f>
        <x:v>124</x:v>
      </x:c>
      <x:c r="P55" t="n">
        <x:f>N55-O55</x:f>
        <x:v>159.09999999999997</x:v>
      </x:c>
      <x:c r="Q55" t="n">
        <x:f>IF(N55=0,0,P55/N55)</x:f>
        <x:v>0.5619922288943836</x:v>
      </x:c>
      <x:c r="R55" t="inlineStr">
        <x:is>
          <x:t xml:space="preserve">Cash</x:t>
        </x:is>
      </x:c>
      <x:c r="S55" t="inlineStr">
        <x:is>
          <x:t xml:space="preserve">Walk-in Client</x:t>
        </x:is>
      </x:c>
    </x:row>
    <x:row r="56">
      <x:c r="A56" t="inlineStr">
        <x:is>
          <x:t xml:space="preserve">TRX-0055</x:t>
        </x:is>
      </x:c>
      <x:c r="B56" t="n">
        <x:v>46034</x:v>
      </x:c>
      <x:c r="C56" t="inlineStr">
        <x:is>
          <x:t xml:space="preserve">CG-001</x:t>
        </x:is>
      </x:c>
      <x:c r="D56" t="inlineStr">
        <x:is>
          <x:t xml:space="preserve">Gabriel Samra Coral Gables</x:t>
        </x:is>
      </x:c>
      <x:c r="E56" t="inlineStr">
        <x:is>
          <x:t xml:space="preserve">Truss</x:t>
        </x:is>
      </x:c>
      <x:c r="F56" t="inlineStr">
        <x:is>
          <x:t xml:space="preserve">TRU-MSK-003</x:t>
        </x:is>
      </x:c>
      <x:c r="G56" t="inlineStr">
        <x:is>
          <x:t xml:space="preserve">Net Mask</x:t>
        </x:is>
      </x:c>
      <x:c r="H56" t="inlineStr">
        <x:is>
          <x:t xml:space="preserve">Treatment</x:t>
        </x:is>
      </x:c>
      <x:c r="I56" t="inlineStr">
        <x:is>
          <x:t xml:space="preserve">Magaly</x:t>
        </x:is>
      </x:c>
      <x:c r="J56" t="n">
        <x:v>1</x:v>
      </x:c>
      <x:c r="K56" t="n">
        <x:v>20</x:v>
      </x:c>
      <x:c r="L56" t="n">
        <x:v>45</x:v>
      </x:c>
      <x:c r="M56" t="n">
        <x:v>0</x:v>
      </x:c>
      <x:c r="N56" t="n">
        <x:f>J56*L56*(1-M56)</x:f>
        <x:v>45</x:v>
      </x:c>
      <x:c r="O56" t="n">
        <x:f>J56*K56</x:f>
        <x:v>20</x:v>
      </x:c>
      <x:c r="P56" t="n">
        <x:f>N56-O56</x:f>
        <x:v>25</x:v>
      </x:c>
      <x:c r="Q56" t="n">
        <x:f>IF(N56=0,0,P56/N56)</x:f>
        <x:v>0.5555555555555556</x:v>
      </x:c>
      <x:c r="R56" t="inlineStr">
        <x:is>
          <x:t xml:space="preserve">Gift Card</x:t>
        </x:is>
      </x:c>
      <x:c r="S56" t="inlineStr">
        <x:is>
          <x:t xml:space="preserve">Stylist Recommendation</x:t>
        </x:is>
      </x:c>
    </x:row>
    <x:row r="57">
      <x:c r="A57" t="inlineStr">
        <x:is>
          <x:t xml:space="preserve">TRX-0056</x:t>
        </x:is>
      </x:c>
      <x:c r="B57" t="n">
        <x:v>46121</x:v>
      </x:c>
      <x:c r="C57" t="inlineStr">
        <x:is>
          <x:t xml:space="preserve">CG-001</x:t>
        </x:is>
      </x:c>
      <x:c r="D57" t="inlineStr">
        <x:is>
          <x:t xml:space="preserve">Gabriel Samra Coral Gables</x:t>
        </x:is>
      </x:c>
      <x:c r="E57" t="inlineStr">
        <x:is>
          <x:t xml:space="preserve">Sutra</x:t>
        </x:is>
      </x:c>
      <x:c r="F57" t="inlineStr">
        <x:is>
          <x:t xml:space="preserve">SUT-HSP-005</x:t>
        </x:is>
      </x:c>
      <x:c r="G57" t="inlineStr">
        <x:is>
          <x:t xml:space="preserve">Heat Spray</x:t>
        </x:is>
      </x:c>
      <x:c r="H57" t="inlineStr">
        <x:is>
          <x:t xml:space="preserve">Styling</x:t>
        </x:is>
      </x:c>
      <x:c r="I57" t="inlineStr">
        <x:is>
          <x:t xml:space="preserve">Melia</x:t>
        </x:is>
      </x:c>
      <x:c r="J57" t="n">
        <x:v>1</x:v>
      </x:c>
      <x:c r="K57" t="n">
        <x:v>9.5</x:v>
      </x:c>
      <x:c r="L57" t="n">
        <x:v>24</x:v>
      </x:c>
      <x:c r="M57" t="n">
        <x:v>0</x:v>
      </x:c>
      <x:c r="N57" t="n">
        <x:f>J57*L57*(1-M57)</x:f>
        <x:v>24</x:v>
      </x:c>
      <x:c r="O57" t="n">
        <x:f>J57*K57</x:f>
        <x:v>9.5</x:v>
      </x:c>
      <x:c r="P57" t="n">
        <x:f>N57-O57</x:f>
        <x:v>14.5</x:v>
      </x:c>
      <x:c r="Q57" t="n">
        <x:f>IF(N57=0,0,P57/N57)</x:f>
        <x:v>0.6041666666666666</x:v>
      </x:c>
      <x:c r="R57" t="inlineStr">
        <x:is>
          <x:t xml:space="preserve">Card</x:t>
        </x:is>
      </x:c>
      <x:c r="S57" t="inlineStr">
        <x:is>
          <x:t xml:space="preserve">Stylist Recommendation</x:t>
        </x:is>
      </x:c>
    </x:row>
    <x:row r="58">
      <x:c r="A58" t="inlineStr">
        <x:is>
          <x:t xml:space="preserve">TRX-0057</x:t>
        </x:is>
      </x:c>
      <x:c r="B58" t="n">
        <x:v>46155</x:v>
      </x:c>
      <x:c r="C58" t="inlineStr">
        <x:is>
          <x:t xml:space="preserve">CG-001</x:t>
        </x:is>
      </x:c>
      <x:c r="D58" t="inlineStr">
        <x:is>
          <x:t xml:space="preserve">Gabriel Samra Coral Gables</x:t>
        </x:is>
      </x:c>
      <x:c r="E58" t="inlineStr">
        <x:is>
          <x:t xml:space="preserve">Truss</x:t>
        </x:is>
      </x:c>
      <x:c r="F58" t="inlineStr">
        <x:is>
          <x:t xml:space="preserve">TRU-OIL-004</x:t>
        </x:is>
      </x:c>
      <x:c r="G58" t="inlineStr">
        <x:is>
          <x:t xml:space="preserve">Deluxe Prime Oil</x:t>
        </x:is>
      </x:c>
      <x:c r="H58" t="inlineStr">
        <x:is>
          <x:t xml:space="preserve">Finishing</x:t>
        </x:is>
      </x:c>
      <x:c r="I58" t="inlineStr">
        <x:is>
          <x:t xml:space="preserve">Magaly</x:t>
        </x:is>
      </x:c>
      <x:c r="J58" t="n">
        <x:v>1</x:v>
      </x:c>
      <x:c r="K58" t="n">
        <x:v>18</x:v>
      </x:c>
      <x:c r="L58" t="n">
        <x:v>42</x:v>
      </x:c>
      <x:c r="M58" t="n">
        <x:v>0</x:v>
      </x:c>
      <x:c r="N58" t="n">
        <x:f>J58*L58*(1-M58)</x:f>
        <x:v>42</x:v>
      </x:c>
      <x:c r="O58" t="n">
        <x:f>J58*K58</x:f>
        <x:v>18</x:v>
      </x:c>
      <x:c r="P58" t="n">
        <x:f>N58-O58</x:f>
        <x:v>24</x:v>
      </x:c>
      <x:c r="Q58" t="n">
        <x:f>IF(N58=0,0,P58/N58)</x:f>
        <x:v>0.5714285714285714</x:v>
      </x:c>
      <x:c r="R58" t="inlineStr">
        <x:is>
          <x:t xml:space="preserve">Gift Card</x:t>
        </x:is>
      </x:c>
      <x:c r="S58" t="inlineStr">
        <x:is>
          <x:t xml:space="preserve">Walk-in Client</x:t>
        </x:is>
      </x:c>
    </x:row>
    <x:row r="59">
      <x:c r="A59" t="inlineStr">
        <x:is>
          <x:t xml:space="preserve">TRX-0058</x:t>
        </x:is>
      </x:c>
      <x:c r="B59" t="n">
        <x:v>46136</x:v>
      </x:c>
      <x:c r="C59" t="inlineStr">
        <x:is>
          <x:t xml:space="preserve">DR-001</x:t>
        </x:is>
      </x:c>
      <x:c r="D59" t="inlineStr">
        <x:is>
          <x:t xml:space="preserve">Gabriel Samra Doral</x:t>
        </x:is>
      </x:c>
      <x:c r="E59" t="inlineStr">
        <x:is>
          <x:t xml:space="preserve">Sutra</x:t>
        </x:is>
      </x:c>
      <x:c r="F59" t="inlineStr">
        <x:is>
          <x:t xml:space="preserve">SUT-BLO-003</x:t>
        </x:is>
      </x:c>
      <x:c r="G59" t="inlineStr">
        <x:is>
          <x:t xml:space="preserve">Blowout Brush</x:t>
        </x:is>
      </x:c>
      <x:c r="H59" t="inlineStr">
        <x:is>
          <x:t xml:space="preserve">Hot Tools</x:t>
        </x:is>
      </x:c>
      <x:c r="I59" t="inlineStr">
        <x:is>
          <x:t xml:space="preserve">Melia</x:t>
        </x:is>
      </x:c>
      <x:c r="J59" t="n">
        <x:v>1</x:v>
      </x:c>
      <x:c r="K59" t="n">
        <x:v>48</x:v>
      </x:c>
      <x:c r="L59" t="n">
        <x:v>119</x:v>
      </x:c>
      <x:c r="M59" t="n">
        <x:v>0.05</x:v>
      </x:c>
      <x:c r="N59" t="n">
        <x:f>J59*L59*(1-M59)</x:f>
        <x:v>113.05</x:v>
      </x:c>
      <x:c r="O59" t="n">
        <x:f>J59*K59</x:f>
        <x:v>48</x:v>
      </x:c>
      <x:c r="P59" t="n">
        <x:f>N59-O59</x:f>
        <x:v>65.05</x:v>
      </x:c>
      <x:c r="Q59" t="n">
        <x:f>IF(N59=0,0,P59/N59)</x:f>
        <x:v>0.5754091110128262</x:v>
      </x:c>
      <x:c r="R59" t="inlineStr">
        <x:is>
          <x:t xml:space="preserve">Gift Card</x:t>
        </x:is>
      </x:c>
      <x:c r="S59" t="inlineStr">
        <x:is>
          <x:t xml:space="preserve">Walk-in Client</x:t>
        </x:is>
      </x:c>
    </x:row>
    <x:row r="60">
      <x:c r="A60" t="inlineStr">
        <x:is>
          <x:t xml:space="preserve">TRX-0059</x:t>
        </x:is>
      </x:c>
      <x:c r="B60" t="n">
        <x:v>46089</x:v>
      </x:c>
      <x:c r="C60" t="inlineStr">
        <x:is>
          <x:t xml:space="preserve">DR-001</x:t>
        </x:is>
      </x:c>
      <x:c r="D60" t="inlineStr">
        <x:is>
          <x:t xml:space="preserve">Gabriel Samra Doral</x:t>
        </x:is>
      </x:c>
      <x:c r="E60" t="inlineStr">
        <x:is>
          <x:t xml:space="preserve">Sutra</x:t>
        </x:is>
      </x:c>
      <x:c r="F60" t="inlineStr">
        <x:is>
          <x:t xml:space="preserve">SUT-BLO-003</x:t>
        </x:is>
      </x:c>
      <x:c r="G60" t="inlineStr">
        <x:is>
          <x:t xml:space="preserve">Blowout Brush</x:t>
        </x:is>
      </x:c>
      <x:c r="H60" t="inlineStr">
        <x:is>
          <x:t xml:space="preserve">Hot Tools</x:t>
        </x:is>
      </x:c>
      <x:c r="I60" t="inlineStr">
        <x:is>
          <x:t xml:space="preserve">Isaac</x:t>
        </x:is>
      </x:c>
      <x:c r="J60" t="n">
        <x:v>2</x:v>
      </x:c>
      <x:c r="K60" t="n">
        <x:v>48</x:v>
      </x:c>
      <x:c r="L60" t="n">
        <x:v>119</x:v>
      </x:c>
      <x:c r="M60" t="n">
        <x:v>0.05</x:v>
      </x:c>
      <x:c r="N60" t="n">
        <x:f>J60*L60*(1-M60)</x:f>
        <x:v>226.1</x:v>
      </x:c>
      <x:c r="O60" t="n">
        <x:f>J60*K60</x:f>
        <x:v>96</x:v>
      </x:c>
      <x:c r="P60" t="n">
        <x:f>N60-O60</x:f>
        <x:v>130.1</x:v>
      </x:c>
      <x:c r="Q60" t="n">
        <x:f>IF(N60=0,0,P60/N60)</x:f>
        <x:v>0.5754091110128262</x:v>
      </x:c>
      <x:c r="R60" t="inlineStr">
        <x:is>
          <x:t xml:space="preserve">Gift Card</x:t>
        </x:is>
      </x:c>
      <x:c r="S60" t="inlineStr">
        <x:is>
          <x:t xml:space="preserve">Walk-in Client</x:t>
        </x:is>
      </x:c>
    </x:row>
    <x:row r="61">
      <x:c r="A61" t="inlineStr">
        <x:is>
          <x:t xml:space="preserve">TRX-0060</x:t>
        </x:is>
      </x:c>
      <x:c r="B61" t="n">
        <x:v>46042</x:v>
      </x:c>
      <x:c r="C61" t="inlineStr">
        <x:is>
          <x:t xml:space="preserve">DR-001</x:t>
        </x:is>
      </x:c>
      <x:c r="D61" t="inlineStr">
        <x:is>
          <x:t xml:space="preserve">Gabriel Samra Doral</x:t>
        </x:is>
      </x:c>
      <x:c r="E61" t="inlineStr">
        <x:is>
          <x:t xml:space="preserve">Truss</x:t>
        </x:is>
      </x:c>
      <x:c r="F61" t="inlineStr">
        <x:is>
          <x:t xml:space="preserve">TRU-SER-005</x:t>
        </x:is>
      </x:c>
      <x:c r="G61" t="inlineStr">
        <x:is>
          <x:t xml:space="preserve">Night Spa Serum</x:t>
        </x:is>
      </x:c>
      <x:c r="H61" t="inlineStr">
        <x:is>
          <x:t xml:space="preserve">Treatment</x:t>
        </x:is>
      </x:c>
      <x:c r="I61" t="inlineStr">
        <x:is>
          <x:t xml:space="preserve">Melia</x:t>
        </x:is>
      </x:c>
      <x:c r="J61" t="n">
        <x:v>1</x:v>
      </x:c>
      <x:c r="K61" t="n">
        <x:v>19.75</x:v>
      </x:c>
      <x:c r="L61" t="n">
        <x:v>48</x:v>
      </x:c>
      <x:c r="M61" t="n">
        <x:v>0</x:v>
      </x:c>
      <x:c r="N61" t="n">
        <x:f>J61*L61*(1-M61)</x:f>
        <x:v>48</x:v>
      </x:c>
      <x:c r="O61" t="n">
        <x:f>J61*K61</x:f>
        <x:v>19.75</x:v>
      </x:c>
      <x:c r="P61" t="n">
        <x:f>N61-O61</x:f>
        <x:v>28.25</x:v>
      </x:c>
      <x:c r="Q61" t="n">
        <x:f>IF(N61=0,0,P61/N61)</x:f>
        <x:v>0.5885416666666666</x:v>
      </x:c>
      <x:c r="R61" t="inlineStr">
        <x:is>
          <x:t xml:space="preserve">Apple Pay</x:t>
        </x:is>
      </x:c>
      <x:c r="S61" t="inlineStr">
        <x:is>
          <x:t xml:space="preserve">Existing Client</x:t>
        </x:is>
      </x:c>
    </x:row>
    <x:row r="62">
      <x:c r="A62" t="inlineStr">
        <x:is>
          <x:t xml:space="preserve">TRX-0061</x:t>
        </x:is>
      </x:c>
      <x:c r="B62" t="n">
        <x:v>46082</x:v>
      </x:c>
      <x:c r="C62" t="inlineStr">
        <x:is>
          <x:t xml:space="preserve">CG-001</x:t>
        </x:is>
      </x:c>
      <x:c r="D62" t="inlineStr">
        <x:is>
          <x:t xml:space="preserve">Gabriel Samra Coral Gables</x:t>
        </x:is>
      </x:c>
      <x:c r="E62" t="inlineStr">
        <x:is>
          <x:t xml:space="preserve">Truss</x:t>
        </x:is>
      </x:c>
      <x:c r="F62" t="inlineStr">
        <x:is>
          <x:t xml:space="preserve">TRU-MSK-003</x:t>
        </x:is>
      </x:c>
      <x:c r="G62" t="inlineStr">
        <x:is>
          <x:t xml:space="preserve">Net Mask</x:t>
        </x:is>
      </x:c>
      <x:c r="H62" t="inlineStr">
        <x:is>
          <x:t xml:space="preserve">Treatment</x:t>
        </x:is>
      </x:c>
      <x:c r="I62" t="inlineStr">
        <x:is>
          <x:t xml:space="preserve">Isaac</x:t>
        </x:is>
      </x:c>
      <x:c r="J62" t="n">
        <x:v>1</x:v>
      </x:c>
      <x:c r="K62" t="n">
        <x:v>20</x:v>
      </x:c>
      <x:c r="L62" t="n">
        <x:v>45</x:v>
      </x:c>
      <x:c r="M62" t="n">
        <x:v>0</x:v>
      </x:c>
      <x:c r="N62" t="n">
        <x:f>J62*L62*(1-M62)</x:f>
        <x:v>45</x:v>
      </x:c>
      <x:c r="O62" t="n">
        <x:f>J62*K62</x:f>
        <x:v>20</x:v>
      </x:c>
      <x:c r="P62" t="n">
        <x:f>N62-O62</x:f>
        <x:v>25</x:v>
      </x:c>
      <x:c r="Q62" t="n">
        <x:f>IF(N62=0,0,P62/N62)</x:f>
        <x:v>0.5555555555555556</x:v>
      </x:c>
      <x:c r="R62" t="inlineStr">
        <x:is>
          <x:t xml:space="preserve">Card</x:t>
        </x:is>
      </x:c>
      <x:c r="S62" t="inlineStr">
        <x:is>
          <x:t xml:space="preserve">Stylist Recommendation</x:t>
        </x:is>
      </x:c>
    </x:row>
    <x:row r="63">
      <x:c r="A63" t="inlineStr">
        <x:is>
          <x:t xml:space="preserve">TRX-0062</x:t>
        </x:is>
      </x:c>
      <x:c r="B63" t="n">
        <x:v>46161</x:v>
      </x:c>
      <x:c r="C63" t="inlineStr">
        <x:is>
          <x:t xml:space="preserve">DR-001</x:t>
        </x:is>
      </x:c>
      <x:c r="D63" t="inlineStr">
        <x:is>
          <x:t xml:space="preserve">Gabriel Samra Doral</x:t>
        </x:is>
      </x:c>
      <x:c r="E63" t="inlineStr">
        <x:is>
          <x:t xml:space="preserve">Sutra</x:t>
        </x:is>
      </x:c>
      <x:c r="F63" t="inlineStr">
        <x:is>
          <x:t xml:space="preserve">SUT-CUR-002</x:t>
        </x:is>
      </x:c>
      <x:c r="G63" t="inlineStr">
        <x:is>
          <x:t xml:space="preserve">Clipless Curling Iron</x:t>
        </x:is>
      </x:c>
      <x:c r="H63" t="inlineStr">
        <x:is>
          <x:t xml:space="preserve">Hot Tools</x:t>
        </x:is>
      </x:c>
      <x:c r="I63" t="inlineStr">
        <x:is>
          <x:t xml:space="preserve">Melia</x:t>
        </x:is>
      </x:c>
      <x:c r="J63" t="n">
        <x:v>1</x:v>
      </x:c>
      <x:c r="K63" t="n">
        <x:v>42</x:v>
      </x:c>
      <x:c r="L63" t="n">
        <x:v>99</x:v>
      </x:c>
      <x:c r="M63" t="n">
        <x:v>0</x:v>
      </x:c>
      <x:c r="N63" t="n">
        <x:f>J63*L63*(1-M63)</x:f>
        <x:v>99</x:v>
      </x:c>
      <x:c r="O63" t="n">
        <x:f>J63*K63</x:f>
        <x:v>42</x:v>
      </x:c>
      <x:c r="P63" t="n">
        <x:f>N63-O63</x:f>
        <x:v>57</x:v>
      </x:c>
      <x:c r="Q63" t="n">
        <x:f>IF(N63=0,0,P63/N63)</x:f>
        <x:v>0.5757575757575758</x:v>
      </x:c>
      <x:c r="R63" t="inlineStr">
        <x:is>
          <x:t xml:space="preserve">Gift Card</x:t>
        </x:is>
      </x:c>
      <x:c r="S63" t="inlineStr">
        <x:is>
          <x:t xml:space="preserve">Existing Client</x:t>
        </x:is>
      </x:c>
    </x:row>
    <x:row r="64">
      <x:c r="A64" t="inlineStr">
        <x:is>
          <x:t xml:space="preserve">TRX-0063</x:t>
        </x:is>
      </x:c>
      <x:c r="B64" t="n">
        <x:v>46145</x:v>
      </x:c>
      <x:c r="C64" t="inlineStr">
        <x:is>
          <x:t xml:space="preserve">DR-001</x:t>
        </x:is>
      </x:c>
      <x:c r="D64" t="inlineStr">
        <x:is>
          <x:t xml:space="preserve">Gabriel Samra Doral</x:t>
        </x:is>
      </x:c>
      <x:c r="E64" t="inlineStr">
        <x:is>
          <x:t xml:space="preserve">Sutra</x:t>
        </x:is>
      </x:c>
      <x:c r="F64" t="inlineStr">
        <x:is>
          <x:t xml:space="preserve">SUT-HSP-005</x:t>
        </x:is>
      </x:c>
      <x:c r="G64" t="inlineStr">
        <x:is>
          <x:t xml:space="preserve">Heat Spray</x:t>
        </x:is>
      </x:c>
      <x:c r="H64" t="inlineStr">
        <x:is>
          <x:t xml:space="preserve">Styling</x:t>
        </x:is>
      </x:c>
      <x:c r="I64" t="inlineStr">
        <x:is>
          <x:t xml:space="preserve">Melia</x:t>
        </x:is>
      </x:c>
      <x:c r="J64" t="n">
        <x:v>1</x:v>
      </x:c>
      <x:c r="K64" t="n">
        <x:v>9.5</x:v>
      </x:c>
      <x:c r="L64" t="n">
        <x:v>24</x:v>
      </x:c>
      <x:c r="M64" t="n">
        <x:v>0</x:v>
      </x:c>
      <x:c r="N64" t="n">
        <x:f>J64*L64*(1-M64)</x:f>
        <x:v>24</x:v>
      </x:c>
      <x:c r="O64" t="n">
        <x:f>J64*K64</x:f>
        <x:v>9.5</x:v>
      </x:c>
      <x:c r="P64" t="n">
        <x:f>N64-O64</x:f>
        <x:v>14.5</x:v>
      </x:c>
      <x:c r="Q64" t="n">
        <x:f>IF(N64=0,0,P64/N64)</x:f>
        <x:v>0.6041666666666666</x:v>
      </x:c>
      <x:c r="R64" t="inlineStr">
        <x:is>
          <x:t xml:space="preserve">Gift Card</x:t>
        </x:is>
      </x:c>
      <x:c r="S64" t="inlineStr">
        <x:is>
          <x:t xml:space="preserve">Walk-in Client</x:t>
        </x:is>
      </x:c>
    </x:row>
    <x:row r="65">
      <x:c r="A65" t="inlineStr">
        <x:is>
          <x:t xml:space="preserve">TRX-0064</x:t>
        </x:is>
      </x:c>
      <x:c r="B65" t="n">
        <x:v>46092</x:v>
      </x:c>
      <x:c r="C65" t="inlineStr">
        <x:is>
          <x:t xml:space="preserve">CG-001</x:t>
        </x:is>
      </x:c>
      <x:c r="D65" t="inlineStr">
        <x:is>
          <x:t xml:space="preserve">Gabriel Samra Coral Gables</x:t>
        </x:is>
      </x:c>
      <x:c r="E65" t="inlineStr">
        <x:is>
          <x:t xml:space="preserve">Sutra</x:t>
        </x:is>
      </x:c>
      <x:c r="F65" t="inlineStr">
        <x:is>
          <x:t xml:space="preserve">SUT-BLO-003</x:t>
        </x:is>
      </x:c>
      <x:c r="G65" t="inlineStr">
        <x:is>
          <x:t xml:space="preserve">Blowout Brush</x:t>
        </x:is>
      </x:c>
      <x:c r="H65" t="inlineStr">
        <x:is>
          <x:t xml:space="preserve">Hot Tools</x:t>
        </x:is>
      </x:c>
      <x:c r="I65" t="inlineStr">
        <x:is>
          <x:t xml:space="preserve">Melia</x:t>
        </x:is>
      </x:c>
      <x:c r="J65" t="n">
        <x:v>1</x:v>
      </x:c>
      <x:c r="K65" t="n">
        <x:v>48</x:v>
      </x:c>
      <x:c r="L65" t="n">
        <x:v>119</x:v>
      </x:c>
      <x:c r="M65" t="n">
        <x:v>0</x:v>
      </x:c>
      <x:c r="N65" t="n">
        <x:f>J65*L65*(1-M65)</x:f>
        <x:v>119</x:v>
      </x:c>
      <x:c r="O65" t="n">
        <x:f>J65*K65</x:f>
        <x:v>48</x:v>
      </x:c>
      <x:c r="P65" t="n">
        <x:f>N65-O65</x:f>
        <x:v>71</x:v>
      </x:c>
      <x:c r="Q65" t="n">
        <x:f>IF(N65=0,0,P65/N65)</x:f>
        <x:v>0.5966386554621849</x:v>
      </x:c>
      <x:c r="R65" t="inlineStr">
        <x:is>
          <x:t xml:space="preserve">Gift Card</x:t>
        </x:is>
      </x:c>
      <x:c r="S65" t="inlineStr">
        <x:is>
          <x:t xml:space="preserve">Walk-in Client</x:t>
        </x:is>
      </x:c>
    </x:row>
    <x:row r="66">
      <x:c r="A66" t="inlineStr">
        <x:is>
          <x:t xml:space="preserve">TRX-0065</x:t>
        </x:is>
      </x:c>
      <x:c r="B66" t="n">
        <x:v>46159</x:v>
      </x:c>
      <x:c r="C66" t="inlineStr">
        <x:is>
          <x:t xml:space="preserve">CG-001</x:t>
        </x:is>
      </x:c>
      <x:c r="D66" t="inlineStr">
        <x:is>
          <x:t xml:space="preserve">Gabriel Samra Coral Gables</x:t>
        </x:is>
      </x:c>
      <x:c r="E66" t="inlineStr">
        <x:is>
          <x:t xml:space="preserve">Sutra</x:t>
        </x:is>
      </x:c>
      <x:c r="F66" t="inlineStr">
        <x:is>
          <x:t xml:space="preserve">SUT-BLO-003</x:t>
        </x:is>
      </x:c>
      <x:c r="G66" t="inlineStr">
        <x:is>
          <x:t xml:space="preserve">Blowout Brush</x:t>
        </x:is>
      </x:c>
      <x:c r="H66" t="inlineStr">
        <x:is>
          <x:t xml:space="preserve">Hot Tools</x:t>
        </x:is>
      </x:c>
      <x:c r="I66" t="inlineStr">
        <x:is>
          <x:t xml:space="preserve">Melia</x:t>
        </x:is>
      </x:c>
      <x:c r="J66" t="n">
        <x:v>1</x:v>
      </x:c>
      <x:c r="K66" t="n">
        <x:v>48</x:v>
      </x:c>
      <x:c r="L66" t="n">
        <x:v>119</x:v>
      </x:c>
      <x:c r="M66" t="n">
        <x:v>0</x:v>
      </x:c>
      <x:c r="N66" t="n">
        <x:f>J66*L66*(1-M66)</x:f>
        <x:v>119</x:v>
      </x:c>
      <x:c r="O66" t="n">
        <x:f>J66*K66</x:f>
        <x:v>48</x:v>
      </x:c>
      <x:c r="P66" t="n">
        <x:f>N66-O66</x:f>
        <x:v>71</x:v>
      </x:c>
      <x:c r="Q66" t="n">
        <x:f>IF(N66=0,0,P66/N66)</x:f>
        <x:v>0.5966386554621849</x:v>
      </x:c>
      <x:c r="R66" t="inlineStr">
        <x:is>
          <x:t xml:space="preserve">Card</x:t>
        </x:is>
      </x:c>
      <x:c r="S66" t="inlineStr">
        <x:is>
          <x:t xml:space="preserve">Stylist Recommendation</x:t>
        </x:is>
      </x:c>
    </x:row>
    <x:row r="67">
      <x:c r="A67" t="inlineStr">
        <x:is>
          <x:t xml:space="preserve">TRX-0066</x:t>
        </x:is>
      </x:c>
      <x:c r="B67" t="n">
        <x:v>46069</x:v>
      </x:c>
      <x:c r="C67" t="inlineStr">
        <x:is>
          <x:t xml:space="preserve">DR-001</x:t>
        </x:is>
      </x:c>
      <x:c r="D67" t="inlineStr">
        <x:is>
          <x:t xml:space="preserve">Gabriel Samra Doral</x:t>
        </x:is>
      </x:c>
      <x:c r="E67" t="inlineStr">
        <x:is>
          <x:t xml:space="preserve">Truss</x:t>
        </x:is>
      </x:c>
      <x:c r="F67" t="inlineStr">
        <x:is>
          <x:t xml:space="preserve">TRU-MSK-003</x:t>
        </x:is>
      </x:c>
      <x:c r="G67" t="inlineStr">
        <x:is>
          <x:t xml:space="preserve">Net Mask</x:t>
        </x:is>
      </x:c>
      <x:c r="H67" t="inlineStr">
        <x:is>
          <x:t xml:space="preserve">Treatment</x:t>
        </x:is>
      </x:c>
      <x:c r="I67" t="inlineStr">
        <x:is>
          <x:t xml:space="preserve">Isaac</x:t>
        </x:is>
      </x:c>
      <x:c r="J67" t="n">
        <x:v>1</x:v>
      </x:c>
      <x:c r="K67" t="n">
        <x:v>20</x:v>
      </x:c>
      <x:c r="L67" t="n">
        <x:v>45</x:v>
      </x:c>
      <x:c r="M67" t="n">
        <x:v>0</x:v>
      </x:c>
      <x:c r="N67" t="n">
        <x:f>J67*L67*(1-M67)</x:f>
        <x:v>45</x:v>
      </x:c>
      <x:c r="O67" t="n">
        <x:f>J67*K67</x:f>
        <x:v>20</x:v>
      </x:c>
      <x:c r="P67" t="n">
        <x:f>N67-O67</x:f>
        <x:v>25</x:v>
      </x:c>
      <x:c r="Q67" t="n">
        <x:f>IF(N67=0,0,P67/N67)</x:f>
        <x:v>0.5555555555555556</x:v>
      </x:c>
      <x:c r="R67" t="inlineStr">
        <x:is>
          <x:t xml:space="preserve">Gift Card</x:t>
        </x:is>
      </x:c>
      <x:c r="S67" t="inlineStr">
        <x:is>
          <x:t xml:space="preserve">Post-Service Retail</x:t>
        </x:is>
      </x:c>
    </x:row>
    <x:row r="68">
      <x:c r="A68" t="inlineStr">
        <x:is>
          <x:t xml:space="preserve">TRX-0067</x:t>
        </x:is>
      </x:c>
      <x:c r="B68" t="n">
        <x:v>46094</x:v>
      </x:c>
      <x:c r="C68" t="inlineStr">
        <x:is>
          <x:t xml:space="preserve">DR-001</x:t>
        </x:is>
      </x:c>
      <x:c r="D68" t="inlineStr">
        <x:is>
          <x:t xml:space="preserve">Gabriel Samra Doral</x:t>
        </x:is>
      </x:c>
      <x:c r="E68" t="inlineStr">
        <x:is>
          <x:t xml:space="preserve">Sutra</x:t>
        </x:is>
      </x:c>
      <x:c r="F68" t="inlineStr">
        <x:is>
          <x:t xml:space="preserve">SUT-FIR-001</x:t>
        </x:is>
      </x:c>
      <x:c r="G68" t="inlineStr">
        <x:is>
          <x:t xml:space="preserve">Mini Flat Iron</x:t>
        </x:is>
      </x:c>
      <x:c r="H68" t="inlineStr">
        <x:is>
          <x:t xml:space="preserve">Hot Tools</x:t>
        </x:is>
      </x:c>
      <x:c r="I68" t="inlineStr">
        <x:is>
          <x:t xml:space="preserve">Isaac</x:t>
        </x:is>
      </x:c>
      <x:c r="J68" t="n">
        <x:v>2</x:v>
      </x:c>
      <x:c r="K68" t="n">
        <x:v>38</x:v>
      </x:c>
      <x:c r="L68" t="n">
        <x:v>89</x:v>
      </x:c>
      <x:c r="M68" t="n">
        <x:v>0.05</x:v>
      </x:c>
      <x:c r="N68" t="n">
        <x:f>J68*L68*(1-M68)</x:f>
        <x:v>169.1</x:v>
      </x:c>
      <x:c r="O68" t="n">
        <x:f>J68*K68</x:f>
        <x:v>76</x:v>
      </x:c>
      <x:c r="P68" t="n">
        <x:f>N68-O68</x:f>
        <x:v>93.1</x:v>
      </x:c>
      <x:c r="Q68" t="n">
        <x:f>IF(N68=0,0,P68/N68)</x:f>
        <x:v>0.550561797752809</x:v>
      </x:c>
      <x:c r="R68" t="inlineStr">
        <x:is>
          <x:t xml:space="preserve">Card</x:t>
        </x:is>
      </x:c>
      <x:c r="S68" t="inlineStr">
        <x:is>
          <x:t xml:space="preserve">Stylist Recommendation</x:t>
        </x:is>
      </x:c>
    </x:row>
    <x:row r="69">
      <x:c r="A69" t="inlineStr">
        <x:is>
          <x:t xml:space="preserve">TRX-0068</x:t>
        </x:is>
      </x:c>
      <x:c r="B69" t="n">
        <x:v>46112</x:v>
      </x:c>
      <x:c r="C69" t="inlineStr">
        <x:is>
          <x:t xml:space="preserve">CG-001</x:t>
        </x:is>
      </x:c>
      <x:c r="D69" t="inlineStr">
        <x:is>
          <x:t xml:space="preserve">Gabriel Samra Coral Gables</x:t>
        </x:is>
      </x:c>
      <x:c r="E69" t="inlineStr">
        <x:is>
          <x:t xml:space="preserve">Truss</x:t>
        </x:is>
      </x:c>
      <x:c r="F69" t="inlineStr">
        <x:is>
          <x:t xml:space="preserve">TRU-SHP-001</x:t>
        </x:is>
      </x:c>
      <x:c r="G69" t="inlineStr">
        <x:is>
          <x:t xml:space="preserve">Infusion Shampoo</x:t>
        </x:is>
      </x:c>
      <x:c r="H69" t="inlineStr">
        <x:is>
          <x:t xml:space="preserve">Hair Care</x:t>
        </x:is>
      </x:c>
      <x:c r="I69" t="inlineStr">
        <x:is>
          <x:t xml:space="preserve">Melia</x:t>
        </x:is>
      </x:c>
      <x:c r="J69" t="n">
        <x:v>1</x:v>
      </x:c>
      <x:c r="K69" t="n">
        <x:v>14.5</x:v>
      </x:c>
      <x:c r="L69" t="n">
        <x:v>32</x:v>
      </x:c>
      <x:c r="M69" t="n">
        <x:v>0</x:v>
      </x:c>
      <x:c r="N69" t="n">
        <x:f>J69*L69*(1-M69)</x:f>
        <x:v>32</x:v>
      </x:c>
      <x:c r="O69" t="n">
        <x:f>J69*K69</x:f>
        <x:v>14.5</x:v>
      </x:c>
      <x:c r="P69" t="n">
        <x:f>N69-O69</x:f>
        <x:v>17.5</x:v>
      </x:c>
      <x:c r="Q69" t="n">
        <x:f>IF(N69=0,0,P69/N69)</x:f>
        <x:v>0.546875</x:v>
      </x:c>
      <x:c r="R69" t="inlineStr">
        <x:is>
          <x:t xml:space="preserve">Card</x:t>
        </x:is>
      </x:c>
      <x:c r="S69" t="inlineStr">
        <x:is>
          <x:t xml:space="preserve">Walk-in Client</x:t>
        </x:is>
      </x:c>
    </x:row>
    <x:row r="70">
      <x:c r="A70" t="inlineStr">
        <x:is>
          <x:t xml:space="preserve">TRX-0069</x:t>
        </x:is>
      </x:c>
      <x:c r="B70" t="n">
        <x:v>46062</x:v>
      </x:c>
      <x:c r="C70" t="inlineStr">
        <x:is>
          <x:t xml:space="preserve">CG-001</x:t>
        </x:is>
      </x:c>
      <x:c r="D70" t="inlineStr">
        <x:is>
          <x:t xml:space="preserve">Gabriel Samra Coral Gables</x:t>
        </x:is>
      </x:c>
      <x:c r="E70" t="inlineStr">
        <x:is>
          <x:t xml:space="preserve">Truss</x:t>
        </x:is>
      </x:c>
      <x:c r="F70" t="inlineStr">
        <x:is>
          <x:t xml:space="preserve">TRU-OIL-004</x:t>
        </x:is>
      </x:c>
      <x:c r="G70" t="inlineStr">
        <x:is>
          <x:t xml:space="preserve">Deluxe Prime Oil</x:t>
        </x:is>
      </x:c>
      <x:c r="H70" t="inlineStr">
        <x:is>
          <x:t xml:space="preserve">Finishing</x:t>
        </x:is>
      </x:c>
      <x:c r="I70" t="inlineStr">
        <x:is>
          <x:t xml:space="preserve">Magaly</x:t>
        </x:is>
      </x:c>
      <x:c r="J70" t="n">
        <x:v>1</x:v>
      </x:c>
      <x:c r="K70" t="n">
        <x:v>18</x:v>
      </x:c>
      <x:c r="L70" t="n">
        <x:v>42</x:v>
      </x:c>
      <x:c r="M70" t="n">
        <x:v>0</x:v>
      </x:c>
      <x:c r="N70" t="n">
        <x:f>J70*L70*(1-M70)</x:f>
        <x:v>42</x:v>
      </x:c>
      <x:c r="O70" t="n">
        <x:f>J70*K70</x:f>
        <x:v>18</x:v>
      </x:c>
      <x:c r="P70" t="n">
        <x:f>N70-O70</x:f>
        <x:v>24</x:v>
      </x:c>
      <x:c r="Q70" t="n">
        <x:f>IF(N70=0,0,P70/N70)</x:f>
        <x:v>0.5714285714285714</x:v>
      </x:c>
      <x:c r="R70" t="inlineStr">
        <x:is>
          <x:t xml:space="preserve">Cash</x:t>
        </x:is>
      </x:c>
      <x:c r="S70" t="inlineStr">
        <x:is>
          <x:t xml:space="preserve">Stylist Recommendation</x:t>
        </x:is>
      </x:c>
    </x:row>
    <x:row r="71">
      <x:c r="A71" t="inlineStr">
        <x:is>
          <x:t xml:space="preserve">TRX-0070</x:t>
        </x:is>
      </x:c>
      <x:c r="B71" t="n">
        <x:v>46065</x:v>
      </x:c>
      <x:c r="C71" t="inlineStr">
        <x:is>
          <x:t xml:space="preserve">DR-001</x:t>
        </x:is>
      </x:c>
      <x:c r="D71" t="inlineStr">
        <x:is>
          <x:t xml:space="preserve">Gabriel Samra Doral</x:t>
        </x:is>
      </x:c>
      <x:c r="E71" t="inlineStr">
        <x:is>
          <x:t xml:space="preserve">Truss</x:t>
        </x:is>
      </x:c>
      <x:c r="F71" t="inlineStr">
        <x:is>
          <x:t xml:space="preserve">TRU-SER-005</x:t>
        </x:is>
      </x:c>
      <x:c r="G71" t="inlineStr">
        <x:is>
          <x:t xml:space="preserve">Night Spa Serum</x:t>
        </x:is>
      </x:c>
      <x:c r="H71" t="inlineStr">
        <x:is>
          <x:t xml:space="preserve">Treatment</x:t>
        </x:is>
      </x:c>
      <x:c r="I71" t="inlineStr">
        <x:is>
          <x:t xml:space="preserve">Magaly</x:t>
        </x:is>
      </x:c>
      <x:c r="J71" t="n">
        <x:v>1</x:v>
      </x:c>
      <x:c r="K71" t="n">
        <x:v>19.75</x:v>
      </x:c>
      <x:c r="L71" t="n">
        <x:v>48</x:v>
      </x:c>
      <x:c r="M71" t="n">
        <x:v>0.1</x:v>
      </x:c>
      <x:c r="N71" t="n">
        <x:f>J71*L71*(1-M71)</x:f>
        <x:v>43.2</x:v>
      </x:c>
      <x:c r="O71" t="n">
        <x:f>J71*K71</x:f>
        <x:v>19.75</x:v>
      </x:c>
      <x:c r="P71" t="n">
        <x:f>N71-O71</x:f>
        <x:v>23.450000000000003</x:v>
      </x:c>
      <x:c r="Q71" t="n">
        <x:f>IF(N71=0,0,P71/N71)</x:f>
        <x:v>0.5428240740740741</x:v>
      </x:c>
      <x:c r="R71" t="inlineStr">
        <x:is>
          <x:t xml:space="preserve">Cash</x:t>
        </x:is>
      </x:c>
      <x:c r="S71" t="inlineStr">
        <x:is>
          <x:t xml:space="preserve">Post-Service Retail</x:t>
        </x:is>
      </x:c>
    </x:row>
    <x:row r="72">
      <x:c r="A72" t="inlineStr">
        <x:is>
          <x:t xml:space="preserve">TRX-0071</x:t>
        </x:is>
      </x:c>
      <x:c r="B72" t="n">
        <x:v>46102</x:v>
      </x:c>
      <x:c r="C72" t="inlineStr">
        <x:is>
          <x:t xml:space="preserve">CG-001</x:t>
        </x:is>
      </x:c>
      <x:c r="D72" t="inlineStr">
        <x:is>
          <x:t xml:space="preserve">Gabriel Samra Coral Gables</x:t>
        </x:is>
      </x:c>
      <x:c r="E72" t="inlineStr">
        <x:is>
          <x:t xml:space="preserve">Truss</x:t>
        </x:is>
      </x:c>
      <x:c r="F72" t="inlineStr">
        <x:is>
          <x:t xml:space="preserve">TRU-CND-002</x:t>
        </x:is>
      </x:c>
      <x:c r="G72" t="inlineStr">
        <x:is>
          <x:t xml:space="preserve">Infusion Conditioner</x:t>
        </x:is>
      </x:c>
      <x:c r="H72" t="inlineStr">
        <x:is>
          <x:t xml:space="preserve">Hair Care</x:t>
        </x:is>
      </x:c>
      <x:c r="I72" t="inlineStr">
        <x:is>
          <x:t xml:space="preserve">Melia</x:t>
        </x:is>
      </x:c>
      <x:c r="J72" t="n">
        <x:v>1</x:v>
      </x:c>
      <x:c r="K72" t="n">
        <x:v>15.25</x:v>
      </x:c>
      <x:c r="L72" t="n">
        <x:v>34</x:v>
      </x:c>
      <x:c r="M72" t="n">
        <x:v>0.1</x:v>
      </x:c>
      <x:c r="N72" t="n">
        <x:f>J72*L72*(1-M72)</x:f>
        <x:v>30.6</x:v>
      </x:c>
      <x:c r="O72" t="n">
        <x:f>J72*K72</x:f>
        <x:v>15.25</x:v>
      </x:c>
      <x:c r="P72" t="n">
        <x:f>N72-O72</x:f>
        <x:v>15.350000000000001</x:v>
      </x:c>
      <x:c r="Q72" t="n">
        <x:f>IF(N72=0,0,P72/N72)</x:f>
        <x:v>0.5016339869281046</x:v>
      </x:c>
      <x:c r="R72" t="inlineStr">
        <x:is>
          <x:t xml:space="preserve">Gift Card</x:t>
        </x:is>
      </x:c>
      <x:c r="S72" t="inlineStr">
        <x:is>
          <x:t xml:space="preserve">Walk-in Client</x:t>
        </x:is>
      </x:c>
    </x:row>
    <x:row r="73">
      <x:c r="A73" t="inlineStr">
        <x:is>
          <x:t xml:space="preserve">TRX-0072</x:t>
        </x:is>
      </x:c>
      <x:c r="B73" t="n">
        <x:v>46049</x:v>
      </x:c>
      <x:c r="C73" t="inlineStr">
        <x:is>
          <x:t xml:space="preserve">CG-001</x:t>
        </x:is>
      </x:c>
      <x:c r="D73" t="inlineStr">
        <x:is>
          <x:t xml:space="preserve">Gabriel Samra Coral Gables</x:t>
        </x:is>
      </x:c>
      <x:c r="E73" t="inlineStr">
        <x:is>
          <x:t xml:space="preserve">Truss</x:t>
        </x:is>
      </x:c>
      <x:c r="F73" t="inlineStr">
        <x:is>
          <x:t xml:space="preserve">TRU-CND-002</x:t>
        </x:is>
      </x:c>
      <x:c r="G73" t="inlineStr">
        <x:is>
          <x:t xml:space="preserve">Infusion Conditioner</x:t>
        </x:is>
      </x:c>
      <x:c r="H73" t="inlineStr">
        <x:is>
          <x:t xml:space="preserve">Hair Care</x:t>
        </x:is>
      </x:c>
      <x:c r="I73" t="inlineStr">
        <x:is>
          <x:t xml:space="preserve">Magaly</x:t>
        </x:is>
      </x:c>
      <x:c r="J73" t="n">
        <x:v>1</x:v>
      </x:c>
      <x:c r="K73" t="n">
        <x:v>15.25</x:v>
      </x:c>
      <x:c r="L73" t="n">
        <x:v>34</x:v>
      </x:c>
      <x:c r="M73" t="n">
        <x:v>0</x:v>
      </x:c>
      <x:c r="N73" t="n">
        <x:f>J73*L73*(1-M73)</x:f>
        <x:v>34</x:v>
      </x:c>
      <x:c r="O73" t="n">
        <x:f>J73*K73</x:f>
        <x:v>15.25</x:v>
      </x:c>
      <x:c r="P73" t="n">
        <x:f>N73-O73</x:f>
        <x:v>18.75</x:v>
      </x:c>
      <x:c r="Q73" t="n">
        <x:f>IF(N73=0,0,P73/N73)</x:f>
        <x:v>0.5514705882352942</x:v>
      </x:c>
      <x:c r="R73" t="inlineStr">
        <x:is>
          <x:t xml:space="preserve">Card</x:t>
        </x:is>
      </x:c>
      <x:c r="S73" t="inlineStr">
        <x:is>
          <x:t xml:space="preserve">Post-Service Retail</x:t>
        </x:is>
      </x:c>
    </x:row>
    <x:row r="74">
      <x:c r="A74" t="inlineStr">
        <x:is>
          <x:t xml:space="preserve">TRX-0073</x:t>
        </x:is>
      </x:c>
      <x:c r="B74" t="n">
        <x:v>46117</x:v>
      </x:c>
      <x:c r="C74" t="inlineStr">
        <x:is>
          <x:t xml:space="preserve">DR-001</x:t>
        </x:is>
      </x:c>
      <x:c r="D74" t="inlineStr">
        <x:is>
          <x:t xml:space="preserve">Gabriel Samra Doral</x:t>
        </x:is>
      </x:c>
      <x:c r="E74" t="inlineStr">
        <x:is>
          <x:t xml:space="preserve">Sutra</x:t>
        </x:is>
      </x:c>
      <x:c r="F74" t="inlineStr">
        <x:is>
          <x:t xml:space="preserve">SUT-DRY-004</x:t>
        </x:is>
      </x:c>
      <x:c r="G74" t="inlineStr">
        <x:is>
          <x:t xml:space="preserve">Professional Hair Dryer</x:t>
        </x:is>
      </x:c>
      <x:c r="H74" t="inlineStr">
        <x:is>
          <x:t xml:space="preserve">Hot Tools</x:t>
        </x:is>
      </x:c>
      <x:c r="I74" t="inlineStr">
        <x:is>
          <x:t xml:space="preserve">Melia</x:t>
        </x:is>
      </x:c>
      <x:c r="J74" t="n">
        <x:v>1</x:v>
      </x:c>
      <x:c r="K74" t="n">
        <x:v>62</x:v>
      </x:c>
      <x:c r="L74" t="n">
        <x:v>149</x:v>
      </x:c>
      <x:c r="M74" t="n">
        <x:v>0</x:v>
      </x:c>
      <x:c r="N74" t="n">
        <x:f>J74*L74*(1-M74)</x:f>
        <x:v>149</x:v>
      </x:c>
      <x:c r="O74" t="n">
        <x:f>J74*K74</x:f>
        <x:v>62</x:v>
      </x:c>
      <x:c r="P74" t="n">
        <x:f>N74-O74</x:f>
        <x:v>87</x:v>
      </x:c>
      <x:c r="Q74" t="n">
        <x:f>IF(N74=0,0,P74/N74)</x:f>
        <x:v>0.5838926174496645</x:v>
      </x:c>
      <x:c r="R74" t="inlineStr">
        <x:is>
          <x:t xml:space="preserve">Gift Card</x:t>
        </x:is>
      </x:c>
      <x:c r="S74" t="inlineStr">
        <x:is>
          <x:t xml:space="preserve">Stylist Recommendation</x:t>
        </x:is>
      </x:c>
    </x:row>
    <x:row r="75">
      <x:c r="A75" t="inlineStr">
        <x:is>
          <x:t xml:space="preserve">TRX-0074</x:t>
        </x:is>
      </x:c>
      <x:c r="B75" t="n">
        <x:v>46115</x:v>
      </x:c>
      <x:c r="C75" t="inlineStr">
        <x:is>
          <x:t xml:space="preserve">DR-001</x:t>
        </x:is>
      </x:c>
      <x:c r="D75" t="inlineStr">
        <x:is>
          <x:t xml:space="preserve">Gabriel Samra Doral</x:t>
        </x:is>
      </x:c>
      <x:c r="E75" t="inlineStr">
        <x:is>
          <x:t xml:space="preserve">Truss</x:t>
        </x:is>
      </x:c>
      <x:c r="F75" t="inlineStr">
        <x:is>
          <x:t xml:space="preserve">TRU-CND-002</x:t>
        </x:is>
      </x:c>
      <x:c r="G75" t="inlineStr">
        <x:is>
          <x:t xml:space="preserve">Infusion Conditioner</x:t>
        </x:is>
      </x:c>
      <x:c r="H75" t="inlineStr">
        <x:is>
          <x:t xml:space="preserve">Hair Care</x:t>
        </x:is>
      </x:c>
      <x:c r="I75" t="inlineStr">
        <x:is>
          <x:t xml:space="preserve">Isaac</x:t>
        </x:is>
      </x:c>
      <x:c r="J75" t="n">
        <x:v>1</x:v>
      </x:c>
      <x:c r="K75" t="n">
        <x:v>15.25</x:v>
      </x:c>
      <x:c r="L75" t="n">
        <x:v>34</x:v>
      </x:c>
      <x:c r="M75" t="n">
        <x:v>0.05</x:v>
      </x:c>
      <x:c r="N75" t="n">
        <x:f>J75*L75*(1-M75)</x:f>
        <x:v>32.3</x:v>
      </x:c>
      <x:c r="O75" t="n">
        <x:f>J75*K75</x:f>
        <x:v>15.25</x:v>
      </x:c>
      <x:c r="P75" t="n">
        <x:f>N75-O75</x:f>
        <x:v>17.049999999999997</x:v>
      </x:c>
      <x:c r="Q75" t="n">
        <x:f>IF(N75=0,0,P75/N75)</x:f>
        <x:v>0.5278637770897833</x:v>
      </x:c>
      <x:c r="R75" t="inlineStr">
        <x:is>
          <x:t xml:space="preserve">Gift Card</x:t>
        </x:is>
      </x:c>
      <x:c r="S75" t="inlineStr">
        <x:is>
          <x:t xml:space="preserve">Walk-in Client</x:t>
        </x:is>
      </x:c>
    </x:row>
    <x:row r="76">
      <x:c r="A76" t="inlineStr">
        <x:is>
          <x:t xml:space="preserve">TRX-0075</x:t>
        </x:is>
      </x:c>
      <x:c r="B76" t="n">
        <x:v>46160</x:v>
      </x:c>
      <x:c r="C76" t="inlineStr">
        <x:is>
          <x:t xml:space="preserve">DR-001</x:t>
        </x:is>
      </x:c>
      <x:c r="D76" t="inlineStr">
        <x:is>
          <x:t xml:space="preserve">Gabriel Samra Doral</x:t>
        </x:is>
      </x:c>
      <x:c r="E76" t="inlineStr">
        <x:is>
          <x:t xml:space="preserve">Sutra</x:t>
        </x:is>
      </x:c>
      <x:c r="F76" t="inlineStr">
        <x:is>
          <x:t xml:space="preserve">SUT-DRY-004</x:t>
        </x:is>
      </x:c>
      <x:c r="G76" t="inlineStr">
        <x:is>
          <x:t xml:space="preserve">Professional Hair Dryer</x:t>
        </x:is>
      </x:c>
      <x:c r="H76" t="inlineStr">
        <x:is>
          <x:t xml:space="preserve">Hot Tools</x:t>
        </x:is>
      </x:c>
      <x:c r="I76" t="inlineStr">
        <x:is>
          <x:t xml:space="preserve">Isaac</x:t>
        </x:is>
      </x:c>
      <x:c r="J76" t="n">
        <x:v>2</x:v>
      </x:c>
      <x:c r="K76" t="n">
        <x:v>62</x:v>
      </x:c>
      <x:c r="L76" t="n">
        <x:v>149</x:v>
      </x:c>
      <x:c r="M76" t="n">
        <x:v>0</x:v>
      </x:c>
      <x:c r="N76" t="n">
        <x:f>J76*L76*(1-M76)</x:f>
        <x:v>298</x:v>
      </x:c>
      <x:c r="O76" t="n">
        <x:f>J76*K76</x:f>
        <x:v>124</x:v>
      </x:c>
      <x:c r="P76" t="n">
        <x:f>N76-O76</x:f>
        <x:v>174</x:v>
      </x:c>
      <x:c r="Q76" t="n">
        <x:f>IF(N76=0,0,P76/N76)</x:f>
        <x:v>0.5838926174496645</x:v>
      </x:c>
      <x:c r="R76" t="inlineStr">
        <x:is>
          <x:t xml:space="preserve">Apple Pay</x:t>
        </x:is>
      </x:c>
      <x:c r="S76" t="inlineStr">
        <x:is>
          <x:t xml:space="preserve">Walk-in Client</x:t>
        </x:is>
      </x:c>
    </x:row>
    <x:row r="77">
      <x:c r="A77" t="inlineStr">
        <x:is>
          <x:t xml:space="preserve">TRX-0076</x:t>
        </x:is>
      </x:c>
      <x:c r="B77" t="n">
        <x:v>46138</x:v>
      </x:c>
      <x:c r="C77" t="inlineStr">
        <x:is>
          <x:t xml:space="preserve">DR-001</x:t>
        </x:is>
      </x:c>
      <x:c r="D77" t="inlineStr">
        <x:is>
          <x:t xml:space="preserve">Gabriel Samra Doral</x:t>
        </x:is>
      </x:c>
      <x:c r="E77" t="inlineStr">
        <x:is>
          <x:t xml:space="preserve">Truss</x:t>
        </x:is>
      </x:c>
      <x:c r="F77" t="inlineStr">
        <x:is>
          <x:t xml:space="preserve">TRU-CND-002</x:t>
        </x:is>
      </x:c>
      <x:c r="G77" t="inlineStr">
        <x:is>
          <x:t xml:space="preserve">Infusion Conditioner</x:t>
        </x:is>
      </x:c>
      <x:c r="H77" t="inlineStr">
        <x:is>
          <x:t xml:space="preserve">Hair Care</x:t>
        </x:is>
      </x:c>
      <x:c r="I77" t="inlineStr">
        <x:is>
          <x:t xml:space="preserve">Melia</x:t>
        </x:is>
      </x:c>
      <x:c r="J77" t="n">
        <x:v>1</x:v>
      </x:c>
      <x:c r="K77" t="n">
        <x:v>15.25</x:v>
      </x:c>
      <x:c r="L77" t="n">
        <x:v>34</x:v>
      </x:c>
      <x:c r="M77" t="n">
        <x:v>0</x:v>
      </x:c>
      <x:c r="N77" t="n">
        <x:f>J77*L77*(1-M77)</x:f>
        <x:v>34</x:v>
      </x:c>
      <x:c r="O77" t="n">
        <x:f>J77*K77</x:f>
        <x:v>15.25</x:v>
      </x:c>
      <x:c r="P77" t="n">
        <x:f>N77-O77</x:f>
        <x:v>18.75</x:v>
      </x:c>
      <x:c r="Q77" t="n">
        <x:f>IF(N77=0,0,P77/N77)</x:f>
        <x:v>0.5514705882352942</x:v>
      </x:c>
      <x:c r="R77" t="inlineStr">
        <x:is>
          <x:t xml:space="preserve">Apple Pay</x:t>
        </x:is>
      </x:c>
      <x:c r="S77" t="inlineStr">
        <x:is>
          <x:t xml:space="preserve">Existing Client</x:t>
        </x:is>
      </x:c>
    </x:row>
    <x:row r="78">
      <x:c r="A78" t="inlineStr">
        <x:is>
          <x:t xml:space="preserve">TRX-0077</x:t>
        </x:is>
      </x:c>
      <x:c r="B78" t="n">
        <x:v>46069</x:v>
      </x:c>
      <x:c r="C78" t="inlineStr">
        <x:is>
          <x:t xml:space="preserve">DR-001</x:t>
        </x:is>
      </x:c>
      <x:c r="D78" t="inlineStr">
        <x:is>
          <x:t xml:space="preserve">Gabriel Samra Doral</x:t>
        </x:is>
      </x:c>
      <x:c r="E78" t="inlineStr">
        <x:is>
          <x:t xml:space="preserve">Sutra</x:t>
        </x:is>
      </x:c>
      <x:c r="F78" t="inlineStr">
        <x:is>
          <x:t xml:space="preserve">SUT-BLO-003</x:t>
        </x:is>
      </x:c>
      <x:c r="G78" t="inlineStr">
        <x:is>
          <x:t xml:space="preserve">Blowout Brush</x:t>
        </x:is>
      </x:c>
      <x:c r="H78" t="inlineStr">
        <x:is>
          <x:t xml:space="preserve">Hot Tools</x:t>
        </x:is>
      </x:c>
      <x:c r="I78" t="inlineStr">
        <x:is>
          <x:t xml:space="preserve">Isaac</x:t>
        </x:is>
      </x:c>
      <x:c r="J78" t="n">
        <x:v>1</x:v>
      </x:c>
      <x:c r="K78" t="n">
        <x:v>48</x:v>
      </x:c>
      <x:c r="L78" t="n">
        <x:v>119</x:v>
      </x:c>
      <x:c r="M78" t="n">
        <x:v>0</x:v>
      </x:c>
      <x:c r="N78" t="n">
        <x:f>J78*L78*(1-M78)</x:f>
        <x:v>119</x:v>
      </x:c>
      <x:c r="O78" t="n">
        <x:f>J78*K78</x:f>
        <x:v>48</x:v>
      </x:c>
      <x:c r="P78" t="n">
        <x:f>N78-O78</x:f>
        <x:v>71</x:v>
      </x:c>
      <x:c r="Q78" t="n">
        <x:f>IF(N78=0,0,P78/N78)</x:f>
        <x:v>0.5966386554621849</x:v>
      </x:c>
      <x:c r="R78" t="inlineStr">
        <x:is>
          <x:t xml:space="preserve">Apple Pay</x:t>
        </x:is>
      </x:c>
      <x:c r="S78" t="inlineStr">
        <x:is>
          <x:t xml:space="preserve">Post-Service Retail</x:t>
        </x:is>
      </x:c>
    </x:row>
    <x:row r="79">
      <x:c r="A79" t="inlineStr">
        <x:is>
          <x:t xml:space="preserve">TRX-0078</x:t>
        </x:is>
      </x:c>
      <x:c r="B79" t="n">
        <x:v>46025</x:v>
      </x:c>
      <x:c r="C79" t="inlineStr">
        <x:is>
          <x:t xml:space="preserve">DR-001</x:t>
        </x:is>
      </x:c>
      <x:c r="D79" t="inlineStr">
        <x:is>
          <x:t xml:space="preserve">Gabriel Samra Doral</x:t>
        </x:is>
      </x:c>
      <x:c r="E79" t="inlineStr">
        <x:is>
          <x:t xml:space="preserve">Sutra</x:t>
        </x:is>
      </x:c>
      <x:c r="F79" t="inlineStr">
        <x:is>
          <x:t xml:space="preserve">SUT-HSP-005</x:t>
        </x:is>
      </x:c>
      <x:c r="G79" t="inlineStr">
        <x:is>
          <x:t xml:space="preserve">Heat Spray</x:t>
        </x:is>
      </x:c>
      <x:c r="H79" t="inlineStr">
        <x:is>
          <x:t xml:space="preserve">Styling</x:t>
        </x:is>
      </x:c>
      <x:c r="I79" t="inlineStr">
        <x:is>
          <x:t xml:space="preserve">Isaac</x:t>
        </x:is>
      </x:c>
      <x:c r="J79" t="n">
        <x:v>1</x:v>
      </x:c>
      <x:c r="K79" t="n">
        <x:v>9.5</x:v>
      </x:c>
      <x:c r="L79" t="n">
        <x:v>24</x:v>
      </x:c>
      <x:c r="M79" t="n">
        <x:v>0</x:v>
      </x:c>
      <x:c r="N79" t="n">
        <x:f>J79*L79*(1-M79)</x:f>
        <x:v>24</x:v>
      </x:c>
      <x:c r="O79" t="n">
        <x:f>J79*K79</x:f>
        <x:v>9.5</x:v>
      </x:c>
      <x:c r="P79" t="n">
        <x:f>N79-O79</x:f>
        <x:v>14.5</x:v>
      </x:c>
      <x:c r="Q79" t="n">
        <x:f>IF(N79=0,0,P79/N79)</x:f>
        <x:v>0.6041666666666666</x:v>
      </x:c>
      <x:c r="R79" t="inlineStr">
        <x:is>
          <x:t xml:space="preserve">Gift Card</x:t>
        </x:is>
      </x:c>
      <x:c r="S79" t="inlineStr">
        <x:is>
          <x:t xml:space="preserve">Stylist Recommendation</x:t>
        </x:is>
      </x:c>
    </x:row>
    <x:row r="80">
      <x:c r="A80" t="inlineStr">
        <x:is>
          <x:t xml:space="preserve">TRX-0079</x:t>
        </x:is>
      </x:c>
      <x:c r="B80" t="n">
        <x:v>46144</x:v>
      </x:c>
      <x:c r="C80" t="inlineStr">
        <x:is>
          <x:t xml:space="preserve">CG-001</x:t>
        </x:is>
      </x:c>
      <x:c r="D80" t="inlineStr">
        <x:is>
          <x:t xml:space="preserve">Gabriel Samra Coral Gables</x:t>
        </x:is>
      </x:c>
      <x:c r="E80" t="inlineStr">
        <x:is>
          <x:t xml:space="preserve">Sutra</x:t>
        </x:is>
      </x:c>
      <x:c r="F80" t="inlineStr">
        <x:is>
          <x:t xml:space="preserve">SUT-DRY-004</x:t>
        </x:is>
      </x:c>
      <x:c r="G80" t="inlineStr">
        <x:is>
          <x:t xml:space="preserve">Professional Hair Dryer</x:t>
        </x:is>
      </x:c>
      <x:c r="H80" t="inlineStr">
        <x:is>
          <x:t xml:space="preserve">Hot Tools</x:t>
        </x:is>
      </x:c>
      <x:c r="I80" t="inlineStr">
        <x:is>
          <x:t xml:space="preserve">Melia</x:t>
        </x:is>
      </x:c>
      <x:c r="J80" t="n">
        <x:v>1</x:v>
      </x:c>
      <x:c r="K80" t="n">
        <x:v>62</x:v>
      </x:c>
      <x:c r="L80" t="n">
        <x:v>149</x:v>
      </x:c>
      <x:c r="M80" t="n">
        <x:v>0</x:v>
      </x:c>
      <x:c r="N80" t="n">
        <x:f>J80*L80*(1-M80)</x:f>
        <x:v>149</x:v>
      </x:c>
      <x:c r="O80" t="n">
        <x:f>J80*K80</x:f>
        <x:v>62</x:v>
      </x:c>
      <x:c r="P80" t="n">
        <x:f>N80-O80</x:f>
        <x:v>87</x:v>
      </x:c>
      <x:c r="Q80" t="n">
        <x:f>IF(N80=0,0,P80/N80)</x:f>
        <x:v>0.5838926174496645</x:v>
      </x:c>
      <x:c r="R80" t="inlineStr">
        <x:is>
          <x:t xml:space="preserve">Card</x:t>
        </x:is>
      </x:c>
      <x:c r="S80" t="inlineStr">
        <x:is>
          <x:t xml:space="preserve">Post-Service Retail</x:t>
        </x:is>
      </x:c>
    </x:row>
    <x:row r="81">
      <x:c r="A81" t="inlineStr">
        <x:is>
          <x:t xml:space="preserve">TRX-0080</x:t>
        </x:is>
      </x:c>
      <x:c r="B81" t="n">
        <x:v>46085</x:v>
      </x:c>
      <x:c r="C81" t="inlineStr">
        <x:is>
          <x:t xml:space="preserve">DR-001</x:t>
        </x:is>
      </x:c>
      <x:c r="D81" t="inlineStr">
        <x:is>
          <x:t xml:space="preserve">Gabriel Samra Doral</x:t>
        </x:is>
      </x:c>
      <x:c r="E81" t="inlineStr">
        <x:is>
          <x:t xml:space="preserve">Truss</x:t>
        </x:is>
      </x:c>
      <x:c r="F81" t="inlineStr">
        <x:is>
          <x:t xml:space="preserve">TRU-OIL-004</x:t>
        </x:is>
      </x:c>
      <x:c r="G81" t="inlineStr">
        <x:is>
          <x:t xml:space="preserve">Deluxe Prime Oil</x:t>
        </x:is>
      </x:c>
      <x:c r="H81" t="inlineStr">
        <x:is>
          <x:t xml:space="preserve">Finishing</x:t>
        </x:is>
      </x:c>
      <x:c r="I81" t="inlineStr">
        <x:is>
          <x:t xml:space="preserve">Magaly</x:t>
        </x:is>
      </x:c>
      <x:c r="J81" t="n">
        <x:v>1</x:v>
      </x:c>
      <x:c r="K81" t="n">
        <x:v>18</x:v>
      </x:c>
      <x:c r="L81" t="n">
        <x:v>42</x:v>
      </x:c>
      <x:c r="M81" t="n">
        <x:v>0</x:v>
      </x:c>
      <x:c r="N81" t="n">
        <x:f>J81*L81*(1-M81)</x:f>
        <x:v>42</x:v>
      </x:c>
      <x:c r="O81" t="n">
        <x:f>J81*K81</x:f>
        <x:v>18</x:v>
      </x:c>
      <x:c r="P81" t="n">
        <x:f>N81-O81</x:f>
        <x:v>24</x:v>
      </x:c>
      <x:c r="Q81" t="n">
        <x:f>IF(N81=0,0,P81/N81)</x:f>
        <x:v>0.5714285714285714</x:v>
      </x:c>
      <x:c r="R81" t="inlineStr">
        <x:is>
          <x:t xml:space="preserve">Apple Pay</x:t>
        </x:is>
      </x:c>
      <x:c r="S81" t="inlineStr">
        <x:is>
          <x:t xml:space="preserve">Stylist Recommendation</x:t>
        </x:is>
      </x:c>
    </x:row>
    <x:row r="82">
      <x:c r="A82" t="inlineStr">
        <x:is>
          <x:t xml:space="preserve">TRX-0081</x:t>
        </x:is>
      </x:c>
      <x:c r="B82" t="n">
        <x:v>46113</x:v>
      </x:c>
      <x:c r="C82" t="inlineStr">
        <x:is>
          <x:t xml:space="preserve">DR-001</x:t>
        </x:is>
      </x:c>
      <x:c r="D82" t="inlineStr">
        <x:is>
          <x:t xml:space="preserve">Gabriel Samra Doral</x:t>
        </x:is>
      </x:c>
      <x:c r="E82" t="inlineStr">
        <x:is>
          <x:t xml:space="preserve">Sutra</x:t>
        </x:is>
      </x:c>
      <x:c r="F82" t="inlineStr">
        <x:is>
          <x:t xml:space="preserve">SUT-DRY-004</x:t>
        </x:is>
      </x:c>
      <x:c r="G82" t="inlineStr">
        <x:is>
          <x:t xml:space="preserve">Professional Hair Dryer</x:t>
        </x:is>
      </x:c>
      <x:c r="H82" t="inlineStr">
        <x:is>
          <x:t xml:space="preserve">Hot Tools</x:t>
        </x:is>
      </x:c>
      <x:c r="I82" t="inlineStr">
        <x:is>
          <x:t xml:space="preserve">Isaac</x:t>
        </x:is>
      </x:c>
      <x:c r="J82" t="n">
        <x:v>1</x:v>
      </x:c>
      <x:c r="K82" t="n">
        <x:v>62</x:v>
      </x:c>
      <x:c r="L82" t="n">
        <x:v>149</x:v>
      </x:c>
      <x:c r="M82" t="n">
        <x:v>0</x:v>
      </x:c>
      <x:c r="N82" t="n">
        <x:f>J82*L82*(1-M82)</x:f>
        <x:v>149</x:v>
      </x:c>
      <x:c r="O82" t="n">
        <x:f>J82*K82</x:f>
        <x:v>62</x:v>
      </x:c>
      <x:c r="P82" t="n">
        <x:f>N82-O82</x:f>
        <x:v>87</x:v>
      </x:c>
      <x:c r="Q82" t="n">
        <x:f>IF(N82=0,0,P82/N82)</x:f>
        <x:v>0.5838926174496645</x:v>
      </x:c>
      <x:c r="R82" t="inlineStr">
        <x:is>
          <x:t xml:space="preserve">Cash</x:t>
        </x:is>
      </x:c>
      <x:c r="S82" t="inlineStr">
        <x:is>
          <x:t xml:space="preserve">Existing Client</x:t>
        </x:is>
      </x:c>
    </x:row>
    <x:row r="83">
      <x:c r="A83" t="inlineStr">
        <x:is>
          <x:t xml:space="preserve">TRX-0082</x:t>
        </x:is>
      </x:c>
      <x:c r="B83" t="n">
        <x:v>46053</x:v>
      </x:c>
      <x:c r="C83" t="inlineStr">
        <x:is>
          <x:t xml:space="preserve">DR-001</x:t>
        </x:is>
      </x:c>
      <x:c r="D83" t="inlineStr">
        <x:is>
          <x:t xml:space="preserve">Gabriel Samra Doral</x:t>
        </x:is>
      </x:c>
      <x:c r="E83" t="inlineStr">
        <x:is>
          <x:t xml:space="preserve">Truss</x:t>
        </x:is>
      </x:c>
      <x:c r="F83" t="inlineStr">
        <x:is>
          <x:t xml:space="preserve">TRU-OIL-004</x:t>
        </x:is>
      </x:c>
      <x:c r="G83" t="inlineStr">
        <x:is>
          <x:t xml:space="preserve">Deluxe Prime Oil</x:t>
        </x:is>
      </x:c>
      <x:c r="H83" t="inlineStr">
        <x:is>
          <x:t xml:space="preserve">Finishing</x:t>
        </x:is>
      </x:c>
      <x:c r="I83" t="inlineStr">
        <x:is>
          <x:t xml:space="preserve">Isaac</x:t>
        </x:is>
      </x:c>
      <x:c r="J83" t="n">
        <x:v>1</x:v>
      </x:c>
      <x:c r="K83" t="n">
        <x:v>18</x:v>
      </x:c>
      <x:c r="L83" t="n">
        <x:v>42</x:v>
      </x:c>
      <x:c r="M83" t="n">
        <x:v>0.1</x:v>
      </x:c>
      <x:c r="N83" t="n">
        <x:f>J83*L83*(1-M83)</x:f>
        <x:v>37.800000000000004</x:v>
      </x:c>
      <x:c r="O83" t="n">
        <x:f>J83*K83</x:f>
        <x:v>18</x:v>
      </x:c>
      <x:c r="P83" t="n">
        <x:f>N83-O83</x:f>
        <x:v>19.800000000000004</x:v>
      </x:c>
      <x:c r="Q83" t="n">
        <x:f>IF(N83=0,0,P83/N83)</x:f>
        <x:v>0.5238095238095238</x:v>
      </x:c>
      <x:c r="R83" t="inlineStr">
        <x:is>
          <x:t xml:space="preserve">Cash</x:t>
        </x:is>
      </x:c>
      <x:c r="S83" t="inlineStr">
        <x:is>
          <x:t xml:space="preserve">Walk-in Client</x:t>
        </x:is>
      </x:c>
    </x:row>
    <x:row r="84">
      <x:c r="A84" t="inlineStr">
        <x:is>
          <x:t xml:space="preserve">TRX-0083</x:t>
        </x:is>
      </x:c>
      <x:c r="B84" t="n">
        <x:v>46157</x:v>
      </x:c>
      <x:c r="C84" t="inlineStr">
        <x:is>
          <x:t xml:space="preserve">DR-001</x:t>
        </x:is>
      </x:c>
      <x:c r="D84" t="inlineStr">
        <x:is>
          <x:t xml:space="preserve">Gabriel Samra Doral</x:t>
        </x:is>
      </x:c>
      <x:c r="E84" t="inlineStr">
        <x:is>
          <x:t xml:space="preserve">Sutra</x:t>
        </x:is>
      </x:c>
      <x:c r="F84" t="inlineStr">
        <x:is>
          <x:t xml:space="preserve">SUT-BLO-003</x:t>
        </x:is>
      </x:c>
      <x:c r="G84" t="inlineStr">
        <x:is>
          <x:t xml:space="preserve">Blowout Brush</x:t>
        </x:is>
      </x:c>
      <x:c r="H84" t="inlineStr">
        <x:is>
          <x:t xml:space="preserve">Hot Tools</x:t>
        </x:is>
      </x:c>
      <x:c r="I84" t="inlineStr">
        <x:is>
          <x:t xml:space="preserve">Isaac</x:t>
        </x:is>
      </x:c>
      <x:c r="J84" t="n">
        <x:v>1</x:v>
      </x:c>
      <x:c r="K84" t="n">
        <x:v>48</x:v>
      </x:c>
      <x:c r="L84" t="n">
        <x:v>119</x:v>
      </x:c>
      <x:c r="M84" t="n">
        <x:v>0.15</x:v>
      </x:c>
      <x:c r="N84" t="n">
        <x:f>J84*L84*(1-M84)</x:f>
        <x:v>101.14999999999999</x:v>
      </x:c>
      <x:c r="O84" t="n">
        <x:f>J84*K84</x:f>
        <x:v>48</x:v>
      </x:c>
      <x:c r="P84" t="n">
        <x:f>N84-O84</x:f>
        <x:v>53.14999999999999</x:v>
      </x:c>
      <x:c r="Q84" t="n">
        <x:f>IF(N84=0,0,P84/N84)</x:f>
        <x:v>0.5254572417202175</x:v>
      </x:c>
      <x:c r="R84" t="inlineStr">
        <x:is>
          <x:t xml:space="preserve">Apple Pay</x:t>
        </x:is>
      </x:c>
      <x:c r="S84" t="inlineStr">
        <x:is>
          <x:t xml:space="preserve">Walk-in Client</x:t>
        </x:is>
      </x:c>
    </x:row>
    <x:row r="85">
      <x:c r="A85" t="inlineStr">
        <x:is>
          <x:t xml:space="preserve">TRX-0084</x:t>
        </x:is>
      </x:c>
      <x:c r="B85" t="n">
        <x:v>46100</x:v>
      </x:c>
      <x:c r="C85" t="inlineStr">
        <x:is>
          <x:t xml:space="preserve">CG-001</x:t>
        </x:is>
      </x:c>
      <x:c r="D85" t="inlineStr">
        <x:is>
          <x:t xml:space="preserve">Gabriel Samra Coral Gables</x:t>
        </x:is>
      </x:c>
      <x:c r="E85" t="inlineStr">
        <x:is>
          <x:t xml:space="preserve">Sutra</x:t>
        </x:is>
      </x:c>
      <x:c r="F85" t="inlineStr">
        <x:is>
          <x:t xml:space="preserve">SUT-FIR-001</x:t>
        </x:is>
      </x:c>
      <x:c r="G85" t="inlineStr">
        <x:is>
          <x:t xml:space="preserve">Mini Flat Iron</x:t>
        </x:is>
      </x:c>
      <x:c r="H85" t="inlineStr">
        <x:is>
          <x:t xml:space="preserve">Hot Tools</x:t>
        </x:is>
      </x:c>
      <x:c r="I85" t="inlineStr">
        <x:is>
          <x:t xml:space="preserve">Isaac</x:t>
        </x:is>
      </x:c>
      <x:c r="J85" t="n">
        <x:v>1</x:v>
      </x:c>
      <x:c r="K85" t="n">
        <x:v>38</x:v>
      </x:c>
      <x:c r="L85" t="n">
        <x:v>89</x:v>
      </x:c>
      <x:c r="M85" t="n">
        <x:v>0</x:v>
      </x:c>
      <x:c r="N85" t="n">
        <x:f>J85*L85*(1-M85)</x:f>
        <x:v>89</x:v>
      </x:c>
      <x:c r="O85" t="n">
        <x:f>J85*K85</x:f>
        <x:v>38</x:v>
      </x:c>
      <x:c r="P85" t="n">
        <x:f>N85-O85</x:f>
        <x:v>51</x:v>
      </x:c>
      <x:c r="Q85" t="n">
        <x:f>IF(N85=0,0,P85/N85)</x:f>
        <x:v>0.5730337078651685</x:v>
      </x:c>
      <x:c r="R85" t="inlineStr">
        <x:is>
          <x:t xml:space="preserve">Card</x:t>
        </x:is>
      </x:c>
      <x:c r="S85" t="inlineStr">
        <x:is>
          <x:t xml:space="preserve">Existing Client</x:t>
        </x:is>
      </x:c>
    </x:row>
    <x:row r="86">
      <x:c r="A86" t="inlineStr">
        <x:is>
          <x:t xml:space="preserve">TRX-0085</x:t>
        </x:is>
      </x:c>
      <x:c r="B86" t="n">
        <x:v>46055</x:v>
      </x:c>
      <x:c r="C86" t="inlineStr">
        <x:is>
          <x:t xml:space="preserve">DR-001</x:t>
        </x:is>
      </x:c>
      <x:c r="D86" t="inlineStr">
        <x:is>
          <x:t xml:space="preserve">Gabriel Samra Doral</x:t>
        </x:is>
      </x:c>
      <x:c r="E86" t="inlineStr">
        <x:is>
          <x:t xml:space="preserve">Sutra</x:t>
        </x:is>
      </x:c>
      <x:c r="F86" t="inlineStr">
        <x:is>
          <x:t xml:space="preserve">SUT-DRY-004</x:t>
        </x:is>
      </x:c>
      <x:c r="G86" t="inlineStr">
        <x:is>
          <x:t xml:space="preserve">Professional Hair Dryer</x:t>
        </x:is>
      </x:c>
      <x:c r="H86" t="inlineStr">
        <x:is>
          <x:t xml:space="preserve">Hot Tools</x:t>
        </x:is>
      </x:c>
      <x:c r="I86" t="inlineStr">
        <x:is>
          <x:t xml:space="preserve">Magaly</x:t>
        </x:is>
      </x:c>
      <x:c r="J86" t="n">
        <x:v>1</x:v>
      </x:c>
      <x:c r="K86" t="n">
        <x:v>62</x:v>
      </x:c>
      <x:c r="L86" t="n">
        <x:v>149</x:v>
      </x:c>
      <x:c r="M86" t="n">
        <x:v>0.05</x:v>
      </x:c>
      <x:c r="N86" t="n">
        <x:f>J86*L86*(1-M86)</x:f>
        <x:v>141.54999999999998</x:v>
      </x:c>
      <x:c r="O86" t="n">
        <x:f>J86*K86</x:f>
        <x:v>62</x:v>
      </x:c>
      <x:c r="P86" t="n">
        <x:f>N86-O86</x:f>
        <x:v>79.54999999999998</x:v>
      </x:c>
      <x:c r="Q86" t="n">
        <x:f>IF(N86=0,0,P86/N86)</x:f>
        <x:v>0.5619922288943836</x:v>
      </x:c>
      <x:c r="R86" t="inlineStr">
        <x:is>
          <x:t xml:space="preserve">Card</x:t>
        </x:is>
      </x:c>
      <x:c r="S86" t="inlineStr">
        <x:is>
          <x:t xml:space="preserve">Post-Service Retail</x:t>
        </x:is>
      </x:c>
    </x:row>
    <x:row r="87">
      <x:c r="A87" t="inlineStr">
        <x:is>
          <x:t xml:space="preserve">TRX-0086</x:t>
        </x:is>
      </x:c>
      <x:c r="B87" t="n">
        <x:v>46135</x:v>
      </x:c>
      <x:c r="C87" t="inlineStr">
        <x:is>
          <x:t xml:space="preserve">DR-001</x:t>
        </x:is>
      </x:c>
      <x:c r="D87" t="inlineStr">
        <x:is>
          <x:t xml:space="preserve">Gabriel Samra Doral</x:t>
        </x:is>
      </x:c>
      <x:c r="E87" t="inlineStr">
        <x:is>
          <x:t xml:space="preserve">Sutra</x:t>
        </x:is>
      </x:c>
      <x:c r="F87" t="inlineStr">
        <x:is>
          <x:t xml:space="preserve">SUT-BLO-003</x:t>
        </x:is>
      </x:c>
      <x:c r="G87" t="inlineStr">
        <x:is>
          <x:t xml:space="preserve">Blowout Brush</x:t>
        </x:is>
      </x:c>
      <x:c r="H87" t="inlineStr">
        <x:is>
          <x:t xml:space="preserve">Hot Tools</x:t>
        </x:is>
      </x:c>
      <x:c r="I87" t="inlineStr">
        <x:is>
          <x:t xml:space="preserve">Isaac</x:t>
        </x:is>
      </x:c>
      <x:c r="J87" t="n">
        <x:v>1</x:v>
      </x:c>
      <x:c r="K87" t="n">
        <x:v>48</x:v>
      </x:c>
      <x:c r="L87" t="n">
        <x:v>119</x:v>
      </x:c>
      <x:c r="M87" t="n">
        <x:v>0.1</x:v>
      </x:c>
      <x:c r="N87" t="n">
        <x:f>J87*L87*(1-M87)</x:f>
        <x:v>107.10000000000001</x:v>
      </x:c>
      <x:c r="O87" t="n">
        <x:f>J87*K87</x:f>
        <x:v>48</x:v>
      </x:c>
      <x:c r="P87" t="n">
        <x:f>N87-O87</x:f>
        <x:v>59.10000000000001</x:v>
      </x:c>
      <x:c r="Q87" t="n">
        <x:f>IF(N87=0,0,P87/N87)</x:f>
        <x:v>0.5518207282913166</x:v>
      </x:c>
      <x:c r="R87" t="inlineStr">
        <x:is>
          <x:t xml:space="preserve">Gift Card</x:t>
        </x:is>
      </x:c>
      <x:c r="S87" t="inlineStr">
        <x:is>
          <x:t xml:space="preserve">Existing Client</x:t>
        </x:is>
      </x:c>
    </x:row>
    <x:row r="88">
      <x:c r="A88" t="inlineStr">
        <x:is>
          <x:t xml:space="preserve">TRX-0087</x:t>
        </x:is>
      </x:c>
      <x:c r="B88" t="n">
        <x:v>46148</x:v>
      </x:c>
      <x:c r="C88" t="inlineStr">
        <x:is>
          <x:t xml:space="preserve">DR-001</x:t>
        </x:is>
      </x:c>
      <x:c r="D88" t="inlineStr">
        <x:is>
          <x:t xml:space="preserve">Gabriel Samra Doral</x:t>
        </x:is>
      </x:c>
      <x:c r="E88" t="inlineStr">
        <x:is>
          <x:t xml:space="preserve">Truss</x:t>
        </x:is>
      </x:c>
      <x:c r="F88" t="inlineStr">
        <x:is>
          <x:t xml:space="preserve">TRU-CND-002</x:t>
        </x:is>
      </x:c>
      <x:c r="G88" t="inlineStr">
        <x:is>
          <x:t xml:space="preserve">Infusion Conditioner</x:t>
        </x:is>
      </x:c>
      <x:c r="H88" t="inlineStr">
        <x:is>
          <x:t xml:space="preserve">Hair Care</x:t>
        </x:is>
      </x:c>
      <x:c r="I88" t="inlineStr">
        <x:is>
          <x:t xml:space="preserve">Melia</x:t>
        </x:is>
      </x:c>
      <x:c r="J88" t="n">
        <x:v>1</x:v>
      </x:c>
      <x:c r="K88" t="n">
        <x:v>15.25</x:v>
      </x:c>
      <x:c r="L88" t="n">
        <x:v>34</x:v>
      </x:c>
      <x:c r="M88" t="n">
        <x:v>0</x:v>
      </x:c>
      <x:c r="N88" t="n">
        <x:f>J88*L88*(1-M88)</x:f>
        <x:v>34</x:v>
      </x:c>
      <x:c r="O88" t="n">
        <x:f>J88*K88</x:f>
        <x:v>15.25</x:v>
      </x:c>
      <x:c r="P88" t="n">
        <x:f>N88-O88</x:f>
        <x:v>18.75</x:v>
      </x:c>
      <x:c r="Q88" t="n">
        <x:f>IF(N88=0,0,P88/N88)</x:f>
        <x:v>0.5514705882352942</x:v>
      </x:c>
      <x:c r="R88" t="inlineStr">
        <x:is>
          <x:t xml:space="preserve">Cash</x:t>
        </x:is>
      </x:c>
      <x:c r="S88" t="inlineStr">
        <x:is>
          <x:t xml:space="preserve">Walk-in Client</x:t>
        </x:is>
      </x:c>
    </x:row>
    <x:row r="89">
      <x:c r="A89" t="inlineStr">
        <x:is>
          <x:t xml:space="preserve">TRX-0088</x:t>
        </x:is>
      </x:c>
      <x:c r="B89" t="n">
        <x:v>46044</x:v>
      </x:c>
      <x:c r="C89" t="inlineStr">
        <x:is>
          <x:t xml:space="preserve">DR-001</x:t>
        </x:is>
      </x:c>
      <x:c r="D89" t="inlineStr">
        <x:is>
          <x:t xml:space="preserve">Gabriel Samra Doral</x:t>
        </x:is>
      </x:c>
      <x:c r="E89" t="inlineStr">
        <x:is>
          <x:t xml:space="preserve">Sutra</x:t>
        </x:is>
      </x:c>
      <x:c r="F89" t="inlineStr">
        <x:is>
          <x:t xml:space="preserve">SUT-HSP-005</x:t>
        </x:is>
      </x:c>
      <x:c r="G89" t="inlineStr">
        <x:is>
          <x:t xml:space="preserve">Heat Spray</x:t>
        </x:is>
      </x:c>
      <x:c r="H89" t="inlineStr">
        <x:is>
          <x:t xml:space="preserve">Styling</x:t>
        </x:is>
      </x:c>
      <x:c r="I89" t="inlineStr">
        <x:is>
          <x:t xml:space="preserve">Melia</x:t>
        </x:is>
      </x:c>
      <x:c r="J89" t="n">
        <x:v>3</x:v>
      </x:c>
      <x:c r="K89" t="n">
        <x:v>9.5</x:v>
      </x:c>
      <x:c r="L89" t="n">
        <x:v>24</x:v>
      </x:c>
      <x:c r="M89" t="n">
        <x:v>0</x:v>
      </x:c>
      <x:c r="N89" t="n">
        <x:f>J89*L89*(1-M89)</x:f>
        <x:v>72</x:v>
      </x:c>
      <x:c r="O89" t="n">
        <x:f>J89*K89</x:f>
        <x:v>28.5</x:v>
      </x:c>
      <x:c r="P89" t="n">
        <x:f>N89-O89</x:f>
        <x:v>43.5</x:v>
      </x:c>
      <x:c r="Q89" t="n">
        <x:f>IF(N89=0,0,P89/N89)</x:f>
        <x:v>0.6041666666666666</x:v>
      </x:c>
      <x:c r="R89" t="inlineStr">
        <x:is>
          <x:t xml:space="preserve">Cash</x:t>
        </x:is>
      </x:c>
      <x:c r="S89" t="inlineStr">
        <x:is>
          <x:t xml:space="preserve">Stylist Recommendation</x:t>
        </x:is>
      </x:c>
    </x:row>
    <x:row r="90">
      <x:c r="A90" t="inlineStr">
        <x:is>
          <x:t xml:space="preserve">TRX-0089</x:t>
        </x:is>
      </x:c>
      <x:c r="B90" t="n">
        <x:v>46099</x:v>
      </x:c>
      <x:c r="C90" t="inlineStr">
        <x:is>
          <x:t xml:space="preserve">DR-001</x:t>
        </x:is>
      </x:c>
      <x:c r="D90" t="inlineStr">
        <x:is>
          <x:t xml:space="preserve">Gabriel Samra Doral</x:t>
        </x:is>
      </x:c>
      <x:c r="E90" t="inlineStr">
        <x:is>
          <x:t xml:space="preserve">Sutra</x:t>
        </x:is>
      </x:c>
      <x:c r="F90" t="inlineStr">
        <x:is>
          <x:t xml:space="preserve">SUT-BLO-003</x:t>
        </x:is>
      </x:c>
      <x:c r="G90" t="inlineStr">
        <x:is>
          <x:t xml:space="preserve">Blowout Brush</x:t>
        </x:is>
      </x:c>
      <x:c r="H90" t="inlineStr">
        <x:is>
          <x:t xml:space="preserve">Hot Tools</x:t>
        </x:is>
      </x:c>
      <x:c r="I90" t="inlineStr">
        <x:is>
          <x:t xml:space="preserve">Isaac</x:t>
        </x:is>
      </x:c>
      <x:c r="J90" t="n">
        <x:v>2</x:v>
      </x:c>
      <x:c r="K90" t="n">
        <x:v>48</x:v>
      </x:c>
      <x:c r="L90" t="n">
        <x:v>119</x:v>
      </x:c>
      <x:c r="M90" t="n">
        <x:v>0.15</x:v>
      </x:c>
      <x:c r="N90" t="n">
        <x:f>J90*L90*(1-M90)</x:f>
        <x:v>202.29999999999998</x:v>
      </x:c>
      <x:c r="O90" t="n">
        <x:f>J90*K90</x:f>
        <x:v>96</x:v>
      </x:c>
      <x:c r="P90" t="n">
        <x:f>N90-O90</x:f>
        <x:v>106.29999999999998</x:v>
      </x:c>
      <x:c r="Q90" t="n">
        <x:f>IF(N90=0,0,P90/N90)</x:f>
        <x:v>0.5254572417202175</x:v>
      </x:c>
      <x:c r="R90" t="inlineStr">
        <x:is>
          <x:t xml:space="preserve">Card</x:t>
        </x:is>
      </x:c>
      <x:c r="S90" t="inlineStr">
        <x:is>
          <x:t xml:space="preserve">Existing Client</x:t>
        </x:is>
      </x:c>
    </x:row>
    <x:row r="91">
      <x:c r="A91" t="inlineStr">
        <x:is>
          <x:t xml:space="preserve">TRX-0090</x:t>
        </x:is>
      </x:c>
      <x:c r="B91" t="n">
        <x:v>46090</x:v>
      </x:c>
      <x:c r="C91" t="inlineStr">
        <x:is>
          <x:t xml:space="preserve">CG-001</x:t>
        </x:is>
      </x:c>
      <x:c r="D91" t="inlineStr">
        <x:is>
          <x:t xml:space="preserve">Gabriel Samra Coral Gables</x:t>
        </x:is>
      </x:c>
      <x:c r="E91" t="inlineStr">
        <x:is>
          <x:t xml:space="preserve">Truss</x:t>
        </x:is>
      </x:c>
      <x:c r="F91" t="inlineStr">
        <x:is>
          <x:t xml:space="preserve">TRU-OIL-004</x:t>
        </x:is>
      </x:c>
      <x:c r="G91" t="inlineStr">
        <x:is>
          <x:t xml:space="preserve">Deluxe Prime Oil</x:t>
        </x:is>
      </x:c>
      <x:c r="H91" t="inlineStr">
        <x:is>
          <x:t xml:space="preserve">Finishing</x:t>
        </x:is>
      </x:c>
      <x:c r="I91" t="inlineStr">
        <x:is>
          <x:t xml:space="preserve">Isaac</x:t>
        </x:is>
      </x:c>
      <x:c r="J91" t="n">
        <x:v>1</x:v>
      </x:c>
      <x:c r="K91" t="n">
        <x:v>18</x:v>
      </x:c>
      <x:c r="L91" t="n">
        <x:v>42</x:v>
      </x:c>
      <x:c r="M91" t="n">
        <x:v>0</x:v>
      </x:c>
      <x:c r="N91" t="n">
        <x:f>J91*L91*(1-M91)</x:f>
        <x:v>42</x:v>
      </x:c>
      <x:c r="O91" t="n">
        <x:f>J91*K91</x:f>
        <x:v>18</x:v>
      </x:c>
      <x:c r="P91" t="n">
        <x:f>N91-O91</x:f>
        <x:v>24</x:v>
      </x:c>
      <x:c r="Q91" t="n">
        <x:f>IF(N91=0,0,P91/N91)</x:f>
        <x:v>0.5714285714285714</x:v>
      </x:c>
      <x:c r="R91" t="inlineStr">
        <x:is>
          <x:t xml:space="preserve">Card</x:t>
        </x:is>
      </x:c>
      <x:c r="S91" t="inlineStr">
        <x:is>
          <x:t xml:space="preserve">Walk-in Client</x:t>
        </x:is>
      </x:c>
    </x:row>
    <x:row r="92">
      <x:c r="A92" t="inlineStr">
        <x:is>
          <x:t xml:space="preserve">TRX-0091</x:t>
        </x:is>
      </x:c>
      <x:c r="B92" t="n">
        <x:v>46138</x:v>
      </x:c>
      <x:c r="C92" t="inlineStr">
        <x:is>
          <x:t xml:space="preserve">DR-001</x:t>
        </x:is>
      </x:c>
      <x:c r="D92" t="inlineStr">
        <x:is>
          <x:t xml:space="preserve">Gabriel Samra Doral</x:t>
        </x:is>
      </x:c>
      <x:c r="E92" t="inlineStr">
        <x:is>
          <x:t xml:space="preserve">Truss</x:t>
        </x:is>
      </x:c>
      <x:c r="F92" t="inlineStr">
        <x:is>
          <x:t xml:space="preserve">TRU-SHP-001</x:t>
        </x:is>
      </x:c>
      <x:c r="G92" t="inlineStr">
        <x:is>
          <x:t xml:space="preserve">Infusion Shampoo</x:t>
        </x:is>
      </x:c>
      <x:c r="H92" t="inlineStr">
        <x:is>
          <x:t xml:space="preserve">Hair Care</x:t>
        </x:is>
      </x:c>
      <x:c r="I92" t="inlineStr">
        <x:is>
          <x:t xml:space="preserve">Melia</x:t>
        </x:is>
      </x:c>
      <x:c r="J92" t="n">
        <x:v>1</x:v>
      </x:c>
      <x:c r="K92" t="n">
        <x:v>14.5</x:v>
      </x:c>
      <x:c r="L92" t="n">
        <x:v>32</x:v>
      </x:c>
      <x:c r="M92" t="n">
        <x:v>0</x:v>
      </x:c>
      <x:c r="N92" t="n">
        <x:f>J92*L92*(1-M92)</x:f>
        <x:v>32</x:v>
      </x:c>
      <x:c r="O92" t="n">
        <x:f>J92*K92</x:f>
        <x:v>14.5</x:v>
      </x:c>
      <x:c r="P92" t="n">
        <x:f>N92-O92</x:f>
        <x:v>17.5</x:v>
      </x:c>
      <x:c r="Q92" t="n">
        <x:f>IF(N92=0,0,P92/N92)</x:f>
        <x:v>0.546875</x:v>
      </x:c>
      <x:c r="R92" t="inlineStr">
        <x:is>
          <x:t xml:space="preserve">Cash</x:t>
        </x:is>
      </x:c>
      <x:c r="S92" t="inlineStr">
        <x:is>
          <x:t xml:space="preserve">Post-Service Retail</x:t>
        </x:is>
      </x:c>
    </x:row>
    <x:row r="93">
      <x:c r="A93" t="inlineStr">
        <x:is>
          <x:t xml:space="preserve">TRX-0092</x:t>
        </x:is>
      </x:c>
      <x:c r="B93" t="n">
        <x:v>46041</x:v>
      </x:c>
      <x:c r="C93" t="inlineStr">
        <x:is>
          <x:t xml:space="preserve">DR-001</x:t>
        </x:is>
      </x:c>
      <x:c r="D93" t="inlineStr">
        <x:is>
          <x:t xml:space="preserve">Gabriel Samra Doral</x:t>
        </x:is>
      </x:c>
      <x:c r="E93" t="inlineStr">
        <x:is>
          <x:t xml:space="preserve">Truss</x:t>
        </x:is>
      </x:c>
      <x:c r="F93" t="inlineStr">
        <x:is>
          <x:t xml:space="preserve">TRU-SER-005</x:t>
        </x:is>
      </x:c>
      <x:c r="G93" t="inlineStr">
        <x:is>
          <x:t xml:space="preserve">Night Spa Serum</x:t>
        </x:is>
      </x:c>
      <x:c r="H93" t="inlineStr">
        <x:is>
          <x:t xml:space="preserve">Treatment</x:t>
        </x:is>
      </x:c>
      <x:c r="I93" t="inlineStr">
        <x:is>
          <x:t xml:space="preserve">Isaac</x:t>
        </x:is>
      </x:c>
      <x:c r="J93" t="n">
        <x:v>1</x:v>
      </x:c>
      <x:c r="K93" t="n">
        <x:v>19.75</x:v>
      </x:c>
      <x:c r="L93" t="n">
        <x:v>48</x:v>
      </x:c>
      <x:c r="M93" t="n">
        <x:v>0.1</x:v>
      </x:c>
      <x:c r="N93" t="n">
        <x:f>J93*L93*(1-M93)</x:f>
        <x:v>43.2</x:v>
      </x:c>
      <x:c r="O93" t="n">
        <x:f>J93*K93</x:f>
        <x:v>19.75</x:v>
      </x:c>
      <x:c r="P93" t="n">
        <x:f>N93-O93</x:f>
        <x:v>23.450000000000003</x:v>
      </x:c>
      <x:c r="Q93" t="n">
        <x:f>IF(N93=0,0,P93/N93)</x:f>
        <x:v>0.5428240740740741</x:v>
      </x:c>
      <x:c r="R93" t="inlineStr">
        <x:is>
          <x:t xml:space="preserve">Gift Card</x:t>
        </x:is>
      </x:c>
      <x:c r="S93" t="inlineStr">
        <x:is>
          <x:t xml:space="preserve">Existing Client</x:t>
        </x:is>
      </x:c>
    </x:row>
    <x:row r="94">
      <x:c r="A94" t="inlineStr">
        <x:is>
          <x:t xml:space="preserve">TRX-0093</x:t>
        </x:is>
      </x:c>
      <x:c r="B94" t="n">
        <x:v>46061</x:v>
      </x:c>
      <x:c r="C94" t="inlineStr">
        <x:is>
          <x:t xml:space="preserve">CG-001</x:t>
        </x:is>
      </x:c>
      <x:c r="D94" t="inlineStr">
        <x:is>
          <x:t xml:space="preserve">Gabriel Samra Coral Gables</x:t>
        </x:is>
      </x:c>
      <x:c r="E94" t="inlineStr">
        <x:is>
          <x:t xml:space="preserve">Sutra</x:t>
        </x:is>
      </x:c>
      <x:c r="F94" t="inlineStr">
        <x:is>
          <x:t xml:space="preserve">SUT-DRY-004</x:t>
        </x:is>
      </x:c>
      <x:c r="G94" t="inlineStr">
        <x:is>
          <x:t xml:space="preserve">Professional Hair Dryer</x:t>
        </x:is>
      </x:c>
      <x:c r="H94" t="inlineStr">
        <x:is>
          <x:t xml:space="preserve">Hot Tools</x:t>
        </x:is>
      </x:c>
      <x:c r="I94" t="inlineStr">
        <x:is>
          <x:t xml:space="preserve">Magaly</x:t>
        </x:is>
      </x:c>
      <x:c r="J94" t="n">
        <x:v>2</x:v>
      </x:c>
      <x:c r="K94" t="n">
        <x:v>62</x:v>
      </x:c>
      <x:c r="L94" t="n">
        <x:v>149</x:v>
      </x:c>
      <x:c r="M94" t="n">
        <x:v>0.05</x:v>
      </x:c>
      <x:c r="N94" t="n">
        <x:f>J94*L94*(1-M94)</x:f>
        <x:v>283.09999999999997</x:v>
      </x:c>
      <x:c r="O94" t="n">
        <x:f>J94*K94</x:f>
        <x:v>124</x:v>
      </x:c>
      <x:c r="P94" t="n">
        <x:f>N94-O94</x:f>
        <x:v>159.09999999999997</x:v>
      </x:c>
      <x:c r="Q94" t="n">
        <x:f>IF(N94=0,0,P94/N94)</x:f>
        <x:v>0.5619922288943836</x:v>
      </x:c>
      <x:c r="R94" t="inlineStr">
        <x:is>
          <x:t xml:space="preserve">Card</x:t>
        </x:is>
      </x:c>
      <x:c r="S94" t="inlineStr">
        <x:is>
          <x:t xml:space="preserve">Walk-in Client</x:t>
        </x:is>
      </x:c>
    </x:row>
    <x:row r="95">
      <x:c r="A95" t="inlineStr">
        <x:is>
          <x:t xml:space="preserve">TRX-0094</x:t>
        </x:is>
      </x:c>
      <x:c r="B95" t="n">
        <x:v>46135</x:v>
      </x:c>
      <x:c r="C95" t="inlineStr">
        <x:is>
          <x:t xml:space="preserve">DR-001</x:t>
        </x:is>
      </x:c>
      <x:c r="D95" t="inlineStr">
        <x:is>
          <x:t xml:space="preserve">Gabriel Samra Doral</x:t>
        </x:is>
      </x:c>
      <x:c r="E95" t="inlineStr">
        <x:is>
          <x:t xml:space="preserve">Truss</x:t>
        </x:is>
      </x:c>
      <x:c r="F95" t="inlineStr">
        <x:is>
          <x:t xml:space="preserve">TRU-SER-005</x:t>
        </x:is>
      </x:c>
      <x:c r="G95" t="inlineStr">
        <x:is>
          <x:t xml:space="preserve">Night Spa Serum</x:t>
        </x:is>
      </x:c>
      <x:c r="H95" t="inlineStr">
        <x:is>
          <x:t xml:space="preserve">Treatment</x:t>
        </x:is>
      </x:c>
      <x:c r="I95" t="inlineStr">
        <x:is>
          <x:t xml:space="preserve">Melia</x:t>
        </x:is>
      </x:c>
      <x:c r="J95" t="n">
        <x:v>1</x:v>
      </x:c>
      <x:c r="K95" t="n">
        <x:v>19.75</x:v>
      </x:c>
      <x:c r="L95" t="n">
        <x:v>48</x:v>
      </x:c>
      <x:c r="M95" t="n">
        <x:v>0.05</x:v>
      </x:c>
      <x:c r="N95" t="n">
        <x:f>J95*L95*(1-M95)</x:f>
        <x:v>45.599999999999994</x:v>
      </x:c>
      <x:c r="O95" t="n">
        <x:f>J95*K95</x:f>
        <x:v>19.75</x:v>
      </x:c>
      <x:c r="P95" t="n">
        <x:f>N95-O95</x:f>
        <x:v>25.849999999999994</x:v>
      </x:c>
      <x:c r="Q95" t="n">
        <x:f>IF(N95=0,0,P95/N95)</x:f>
        <x:v>0.5668859649122806</x:v>
      </x:c>
      <x:c r="R95" t="inlineStr">
        <x:is>
          <x:t xml:space="preserve">Apple Pay</x:t>
        </x:is>
      </x:c>
      <x:c r="S95" t="inlineStr">
        <x:is>
          <x:t xml:space="preserve">Stylist Recommendation</x:t>
        </x:is>
      </x:c>
    </x:row>
    <x:row r="96">
      <x:c r="A96" t="inlineStr">
        <x:is>
          <x:t xml:space="preserve">TRX-0095</x:t>
        </x:is>
      </x:c>
      <x:c r="B96" t="n">
        <x:v>46033</x:v>
      </x:c>
      <x:c r="C96" t="inlineStr">
        <x:is>
          <x:t xml:space="preserve">CG-001</x:t>
        </x:is>
      </x:c>
      <x:c r="D96" t="inlineStr">
        <x:is>
          <x:t xml:space="preserve">Gabriel Samra Coral Gables</x:t>
        </x:is>
      </x:c>
      <x:c r="E96" t="inlineStr">
        <x:is>
          <x:t xml:space="preserve">Sutra</x:t>
        </x:is>
      </x:c>
      <x:c r="F96" t="inlineStr">
        <x:is>
          <x:t xml:space="preserve">SUT-BLO-003</x:t>
        </x:is>
      </x:c>
      <x:c r="G96" t="inlineStr">
        <x:is>
          <x:t xml:space="preserve">Blowout Brush</x:t>
        </x:is>
      </x:c>
      <x:c r="H96" t="inlineStr">
        <x:is>
          <x:t xml:space="preserve">Hot Tools</x:t>
        </x:is>
      </x:c>
      <x:c r="I96" t="inlineStr">
        <x:is>
          <x:t xml:space="preserve">Isaac</x:t>
        </x:is>
      </x:c>
      <x:c r="J96" t="n">
        <x:v>2</x:v>
      </x:c>
      <x:c r="K96" t="n">
        <x:v>48</x:v>
      </x:c>
      <x:c r="L96" t="n">
        <x:v>119</x:v>
      </x:c>
      <x:c r="M96" t="n">
        <x:v>0.05</x:v>
      </x:c>
      <x:c r="N96" t="n">
        <x:f>J96*L96*(1-M96)</x:f>
        <x:v>226.1</x:v>
      </x:c>
      <x:c r="O96" t="n">
        <x:f>J96*K96</x:f>
        <x:v>96</x:v>
      </x:c>
      <x:c r="P96" t="n">
        <x:f>N96-O96</x:f>
        <x:v>130.1</x:v>
      </x:c>
      <x:c r="Q96" t="n">
        <x:f>IF(N96=0,0,P96/N96)</x:f>
        <x:v>0.5754091110128262</x:v>
      </x:c>
      <x:c r="R96" t="inlineStr">
        <x:is>
          <x:t xml:space="preserve">Card</x:t>
        </x:is>
      </x:c>
      <x:c r="S96" t="inlineStr">
        <x:is>
          <x:t xml:space="preserve">Existing Client</x:t>
        </x:is>
      </x:c>
    </x:row>
    <x:row r="97">
      <x:c r="A97" t="inlineStr">
        <x:is>
          <x:t xml:space="preserve">TRX-0096</x:t>
        </x:is>
      </x:c>
      <x:c r="B97" t="n">
        <x:v>46091</x:v>
      </x:c>
      <x:c r="C97" t="inlineStr">
        <x:is>
          <x:t xml:space="preserve">CG-001</x:t>
        </x:is>
      </x:c>
      <x:c r="D97" t="inlineStr">
        <x:is>
          <x:t xml:space="preserve">Gabriel Samra Coral Gables</x:t>
        </x:is>
      </x:c>
      <x:c r="E97" t="inlineStr">
        <x:is>
          <x:t xml:space="preserve">Truss</x:t>
        </x:is>
      </x:c>
      <x:c r="F97" t="inlineStr">
        <x:is>
          <x:t xml:space="preserve">TRU-OIL-004</x:t>
        </x:is>
      </x:c>
      <x:c r="G97" t="inlineStr">
        <x:is>
          <x:t xml:space="preserve">Deluxe Prime Oil</x:t>
        </x:is>
      </x:c>
      <x:c r="H97" t="inlineStr">
        <x:is>
          <x:t xml:space="preserve">Finishing</x:t>
        </x:is>
      </x:c>
      <x:c r="I97" t="inlineStr">
        <x:is>
          <x:t xml:space="preserve">Isaac</x:t>
        </x:is>
      </x:c>
      <x:c r="J97" t="n">
        <x:v>1</x:v>
      </x:c>
      <x:c r="K97" t="n">
        <x:v>18</x:v>
      </x:c>
      <x:c r="L97" t="n">
        <x:v>42</x:v>
      </x:c>
      <x:c r="M97" t="n">
        <x:v>0.05</x:v>
      </x:c>
      <x:c r="N97" t="n">
        <x:f>J97*L97*(1-M97)</x:f>
        <x:v>39.9</x:v>
      </x:c>
      <x:c r="O97" t="n">
        <x:f>J97*K97</x:f>
        <x:v>18</x:v>
      </x:c>
      <x:c r="P97" t="n">
        <x:f>N97-O97</x:f>
        <x:v>21.9</x:v>
      </x:c>
      <x:c r="Q97" t="n">
        <x:f>IF(N97=0,0,P97/N97)</x:f>
        <x:v>0.5488721804511278</x:v>
      </x:c>
      <x:c r="R97" t="inlineStr">
        <x:is>
          <x:t xml:space="preserve">Gift Card</x:t>
        </x:is>
      </x:c>
      <x:c r="S97" t="inlineStr">
        <x:is>
          <x:t xml:space="preserve">Stylist Recommendation</x:t>
        </x:is>
      </x:c>
    </x:row>
    <x:row r="98">
      <x:c r="A98" t="inlineStr">
        <x:is>
          <x:t xml:space="preserve">TRX-0097</x:t>
        </x:is>
      </x:c>
      <x:c r="B98" t="n">
        <x:v>46134</x:v>
      </x:c>
      <x:c r="C98" t="inlineStr">
        <x:is>
          <x:t xml:space="preserve">CG-001</x:t>
        </x:is>
      </x:c>
      <x:c r="D98" t="inlineStr">
        <x:is>
          <x:t xml:space="preserve">Gabriel Samra Coral Gables</x:t>
        </x:is>
      </x:c>
      <x:c r="E98" t="inlineStr">
        <x:is>
          <x:t xml:space="preserve">Truss</x:t>
        </x:is>
      </x:c>
      <x:c r="F98" t="inlineStr">
        <x:is>
          <x:t xml:space="preserve">TRU-SER-005</x:t>
        </x:is>
      </x:c>
      <x:c r="G98" t="inlineStr">
        <x:is>
          <x:t xml:space="preserve">Night Spa Serum</x:t>
        </x:is>
      </x:c>
      <x:c r="H98" t="inlineStr">
        <x:is>
          <x:t xml:space="preserve">Treatment</x:t>
        </x:is>
      </x:c>
      <x:c r="I98" t="inlineStr">
        <x:is>
          <x:t xml:space="preserve">Magaly</x:t>
        </x:is>
      </x:c>
      <x:c r="J98" t="n">
        <x:v>1</x:v>
      </x:c>
      <x:c r="K98" t="n">
        <x:v>19.75</x:v>
      </x:c>
      <x:c r="L98" t="n">
        <x:v>48</x:v>
      </x:c>
      <x:c r="M98" t="n">
        <x:v>0</x:v>
      </x:c>
      <x:c r="N98" t="n">
        <x:f>J98*L98*(1-M98)</x:f>
        <x:v>48</x:v>
      </x:c>
      <x:c r="O98" t="n">
        <x:f>J98*K98</x:f>
        <x:v>19.75</x:v>
      </x:c>
      <x:c r="P98" t="n">
        <x:f>N98-O98</x:f>
        <x:v>28.25</x:v>
      </x:c>
      <x:c r="Q98" t="n">
        <x:f>IF(N98=0,0,P98/N98)</x:f>
        <x:v>0.5885416666666666</x:v>
      </x:c>
      <x:c r="R98" t="inlineStr">
        <x:is>
          <x:t xml:space="preserve">Gift Card</x:t>
        </x:is>
      </x:c>
      <x:c r="S98" t="inlineStr">
        <x:is>
          <x:t xml:space="preserve">Post-Service Retail</x:t>
        </x:is>
      </x:c>
    </x:row>
    <x:row r="99">
      <x:c r="A99" t="inlineStr">
        <x:is>
          <x:t xml:space="preserve">TRX-0098</x:t>
        </x:is>
      </x:c>
      <x:c r="B99" t="n">
        <x:v>46105</x:v>
      </x:c>
      <x:c r="C99" t="inlineStr">
        <x:is>
          <x:t xml:space="preserve">DR-001</x:t>
        </x:is>
      </x:c>
      <x:c r="D99" t="inlineStr">
        <x:is>
          <x:t xml:space="preserve">Gabriel Samra Doral</x:t>
        </x:is>
      </x:c>
      <x:c r="E99" t="inlineStr">
        <x:is>
          <x:t xml:space="preserve">Sutra</x:t>
        </x:is>
      </x:c>
      <x:c r="F99" t="inlineStr">
        <x:is>
          <x:t xml:space="preserve">SUT-CUR-002</x:t>
        </x:is>
      </x:c>
      <x:c r="G99" t="inlineStr">
        <x:is>
          <x:t xml:space="preserve">Clipless Curling Iron</x:t>
        </x:is>
      </x:c>
      <x:c r="H99" t="inlineStr">
        <x:is>
          <x:t xml:space="preserve">Hot Tools</x:t>
        </x:is>
      </x:c>
      <x:c r="I99" t="inlineStr">
        <x:is>
          <x:t xml:space="preserve">Melia</x:t>
        </x:is>
      </x:c>
      <x:c r="J99" t="n">
        <x:v>1</x:v>
      </x:c>
      <x:c r="K99" t="n">
        <x:v>42</x:v>
      </x:c>
      <x:c r="L99" t="n">
        <x:v>99</x:v>
      </x:c>
      <x:c r="M99" t="n">
        <x:v>0.1</x:v>
      </x:c>
      <x:c r="N99" t="n">
        <x:f>J99*L99*(1-M99)</x:f>
        <x:v>89.10000000000001</x:v>
      </x:c>
      <x:c r="O99" t="n">
        <x:f>J99*K99</x:f>
        <x:v>42</x:v>
      </x:c>
      <x:c r="P99" t="n">
        <x:f>N99-O99</x:f>
        <x:v>47.10000000000001</x:v>
      </x:c>
      <x:c r="Q99" t="n">
        <x:f>IF(N99=0,0,P99/N99)</x:f>
        <x:v>0.5286195286195287</x:v>
      </x:c>
      <x:c r="R99" t="inlineStr">
        <x:is>
          <x:t xml:space="preserve">Gift Card</x:t>
        </x:is>
      </x:c>
      <x:c r="S99" t="inlineStr">
        <x:is>
          <x:t xml:space="preserve">Stylist Recommendation</x:t>
        </x:is>
      </x:c>
    </x:row>
    <x:row r="100">
      <x:c r="A100" t="inlineStr">
        <x:is>
          <x:t xml:space="preserve">TRX-0099</x:t>
        </x:is>
      </x:c>
      <x:c r="B100" t="n">
        <x:v>46032</x:v>
      </x:c>
      <x:c r="C100" t="inlineStr">
        <x:is>
          <x:t xml:space="preserve">DR-001</x:t>
        </x:is>
      </x:c>
      <x:c r="D100" t="inlineStr">
        <x:is>
          <x:t xml:space="preserve">Gabriel Samra Doral</x:t>
        </x:is>
      </x:c>
      <x:c r="E100" t="inlineStr">
        <x:is>
          <x:t xml:space="preserve">Truss</x:t>
        </x:is>
      </x:c>
      <x:c r="F100" t="inlineStr">
        <x:is>
          <x:t xml:space="preserve">TRU-SER-005</x:t>
        </x:is>
      </x:c>
      <x:c r="G100" t="inlineStr">
        <x:is>
          <x:t xml:space="preserve">Night Spa Serum</x:t>
        </x:is>
      </x:c>
      <x:c r="H100" t="inlineStr">
        <x:is>
          <x:t xml:space="preserve">Treatment</x:t>
        </x:is>
      </x:c>
      <x:c r="I100" t="inlineStr">
        <x:is>
          <x:t xml:space="preserve">Melia</x:t>
        </x:is>
      </x:c>
      <x:c r="J100" t="n">
        <x:v>1</x:v>
      </x:c>
      <x:c r="K100" t="n">
        <x:v>19.75</x:v>
      </x:c>
      <x:c r="L100" t="n">
        <x:v>48</x:v>
      </x:c>
      <x:c r="M100" t="n">
        <x:v>0</x:v>
      </x:c>
      <x:c r="N100" t="n">
        <x:f>J100*L100*(1-M100)</x:f>
        <x:v>48</x:v>
      </x:c>
      <x:c r="O100" t="n">
        <x:f>J100*K100</x:f>
        <x:v>19.75</x:v>
      </x:c>
      <x:c r="P100" t="n">
        <x:f>N100-O100</x:f>
        <x:v>28.25</x:v>
      </x:c>
      <x:c r="Q100" t="n">
        <x:f>IF(N100=0,0,P100/N100)</x:f>
        <x:v>0.5885416666666666</x:v>
      </x:c>
      <x:c r="R100" t="inlineStr">
        <x:is>
          <x:t xml:space="preserve">Card</x:t>
        </x:is>
      </x:c>
      <x:c r="S100" t="inlineStr">
        <x:is>
          <x:t xml:space="preserve">Stylist Recommendation</x:t>
        </x:is>
      </x:c>
    </x:row>
    <x:row r="101">
      <x:c r="A101" t="inlineStr">
        <x:is>
          <x:t xml:space="preserve">TRX-0100</x:t>
        </x:is>
      </x:c>
      <x:c r="B101" t="n">
        <x:v>46161</x:v>
      </x:c>
      <x:c r="C101" t="inlineStr">
        <x:is>
          <x:t xml:space="preserve">CG-001</x:t>
        </x:is>
      </x:c>
      <x:c r="D101" t="inlineStr">
        <x:is>
          <x:t xml:space="preserve">Gabriel Samra Coral Gables</x:t>
        </x:is>
      </x:c>
      <x:c r="E101" t="inlineStr">
        <x:is>
          <x:t xml:space="preserve">Sutra</x:t>
        </x:is>
      </x:c>
      <x:c r="F101" t="inlineStr">
        <x:is>
          <x:t xml:space="preserve">SUT-DRY-004</x:t>
        </x:is>
      </x:c>
      <x:c r="G101" t="inlineStr">
        <x:is>
          <x:t xml:space="preserve">Professional Hair Dryer</x:t>
        </x:is>
      </x:c>
      <x:c r="H101" t="inlineStr">
        <x:is>
          <x:t xml:space="preserve">Hot Tools</x:t>
        </x:is>
      </x:c>
      <x:c r="I101" t="inlineStr">
        <x:is>
          <x:t xml:space="preserve">Melia</x:t>
        </x:is>
      </x:c>
      <x:c r="J101" t="n">
        <x:v>1</x:v>
      </x:c>
      <x:c r="K101" t="n">
        <x:v>62</x:v>
      </x:c>
      <x:c r="L101" t="n">
        <x:v>149</x:v>
      </x:c>
      <x:c r="M101" t="n">
        <x:v>0</x:v>
      </x:c>
      <x:c r="N101" t="n">
        <x:f>J101*L101*(1-M101)</x:f>
        <x:v>149</x:v>
      </x:c>
      <x:c r="O101" t="n">
        <x:f>J101*K101</x:f>
        <x:v>62</x:v>
      </x:c>
      <x:c r="P101" t="n">
        <x:f>N101-O101</x:f>
        <x:v>87</x:v>
      </x:c>
      <x:c r="Q101" t="n">
        <x:f>IF(N101=0,0,P101/N101)</x:f>
        <x:v>0.5838926174496645</x:v>
      </x:c>
      <x:c r="R101" t="inlineStr">
        <x:is>
          <x:t xml:space="preserve">Gift Card</x:t>
        </x:is>
      </x:c>
      <x:c r="S101" t="inlineStr">
        <x:is>
          <x:t xml:space="preserve">Stylist Recommendation</x:t>
        </x:is>
      </x:c>
    </x:row>
    <x:row r="102">
      <x:c r="A102" t="inlineStr">
        <x:is>
          <x:t xml:space="preserve">TRX-0101</x:t>
        </x:is>
      </x:c>
      <x:c r="B102" t="n">
        <x:v>46091</x:v>
      </x:c>
      <x:c r="C102" t="inlineStr">
        <x:is>
          <x:t xml:space="preserve">CG-001</x:t>
        </x:is>
      </x:c>
      <x:c r="D102" t="inlineStr">
        <x:is>
          <x:t xml:space="preserve">Gabriel Samra Coral Gables</x:t>
        </x:is>
      </x:c>
      <x:c r="E102" t="inlineStr">
        <x:is>
          <x:t xml:space="preserve">Truss</x:t>
        </x:is>
      </x:c>
      <x:c r="F102" t="inlineStr">
        <x:is>
          <x:t xml:space="preserve">TRU-SHP-001</x:t>
        </x:is>
      </x:c>
      <x:c r="G102" t="inlineStr">
        <x:is>
          <x:t xml:space="preserve">Infusion Shampoo</x:t>
        </x:is>
      </x:c>
      <x:c r="H102" t="inlineStr">
        <x:is>
          <x:t xml:space="preserve">Hair Care</x:t>
        </x:is>
      </x:c>
      <x:c r="I102" t="inlineStr">
        <x:is>
          <x:t xml:space="preserve">Magaly</x:t>
        </x:is>
      </x:c>
      <x:c r="J102" t="n">
        <x:v>1</x:v>
      </x:c>
      <x:c r="K102" t="n">
        <x:v>14.5</x:v>
      </x:c>
      <x:c r="L102" t="n">
        <x:v>32</x:v>
      </x:c>
      <x:c r="M102" t="n">
        <x:v>0.1</x:v>
      </x:c>
      <x:c r="N102" t="n">
        <x:f>J102*L102*(1-M102)</x:f>
        <x:v>28.8</x:v>
      </x:c>
      <x:c r="O102" t="n">
        <x:f>J102*K102</x:f>
        <x:v>14.5</x:v>
      </x:c>
      <x:c r="P102" t="n">
        <x:f>N102-O102</x:f>
        <x:v>14.3</x:v>
      </x:c>
      <x:c r="Q102" t="n">
        <x:f>IF(N102=0,0,P102/N102)</x:f>
        <x:v>0.4965277777777778</x:v>
      </x:c>
      <x:c r="R102" t="inlineStr">
        <x:is>
          <x:t xml:space="preserve">Gift Card</x:t>
        </x:is>
      </x:c>
      <x:c r="S102" t="inlineStr">
        <x:is>
          <x:t xml:space="preserve">Existing Client</x:t>
        </x:is>
      </x:c>
    </x:row>
    <x:row r="103">
      <x:c r="A103" t="inlineStr">
        <x:is>
          <x:t xml:space="preserve">TRX-0102</x:t>
        </x:is>
      </x:c>
      <x:c r="B103" t="n">
        <x:v>46063</x:v>
      </x:c>
      <x:c r="C103" t="inlineStr">
        <x:is>
          <x:t xml:space="preserve">CG-001</x:t>
        </x:is>
      </x:c>
      <x:c r="D103" t="inlineStr">
        <x:is>
          <x:t xml:space="preserve">Gabriel Samra Coral Gables</x:t>
        </x:is>
      </x:c>
      <x:c r="E103" t="inlineStr">
        <x:is>
          <x:t xml:space="preserve">Truss</x:t>
        </x:is>
      </x:c>
      <x:c r="F103" t="inlineStr">
        <x:is>
          <x:t xml:space="preserve">TRU-SHP-001</x:t>
        </x:is>
      </x:c>
      <x:c r="G103" t="inlineStr">
        <x:is>
          <x:t xml:space="preserve">Infusion Shampoo</x:t>
        </x:is>
      </x:c>
      <x:c r="H103" t="inlineStr">
        <x:is>
          <x:t xml:space="preserve">Hair Care</x:t>
        </x:is>
      </x:c>
      <x:c r="I103" t="inlineStr">
        <x:is>
          <x:t xml:space="preserve">Melia</x:t>
        </x:is>
      </x:c>
      <x:c r="J103" t="n">
        <x:v>1</x:v>
      </x:c>
      <x:c r="K103" t="n">
        <x:v>14.5</x:v>
      </x:c>
      <x:c r="L103" t="n">
        <x:v>32</x:v>
      </x:c>
      <x:c r="M103" t="n">
        <x:v>0</x:v>
      </x:c>
      <x:c r="N103" t="n">
        <x:f>J103*L103*(1-M103)</x:f>
        <x:v>32</x:v>
      </x:c>
      <x:c r="O103" t="n">
        <x:f>J103*K103</x:f>
        <x:v>14.5</x:v>
      </x:c>
      <x:c r="P103" t="n">
        <x:f>N103-O103</x:f>
        <x:v>17.5</x:v>
      </x:c>
      <x:c r="Q103" t="n">
        <x:f>IF(N103=0,0,P103/N103)</x:f>
        <x:v>0.546875</x:v>
      </x:c>
      <x:c r="R103" t="inlineStr">
        <x:is>
          <x:t xml:space="preserve">Card</x:t>
        </x:is>
      </x:c>
      <x:c r="S103" t="inlineStr">
        <x:is>
          <x:t xml:space="preserve">Walk-in Client</x:t>
        </x:is>
      </x:c>
    </x:row>
    <x:row r="104">
      <x:c r="A104" t="inlineStr">
        <x:is>
          <x:t xml:space="preserve">TRX-0103</x:t>
        </x:is>
      </x:c>
      <x:c r="B104" t="n">
        <x:v>46053</x:v>
      </x:c>
      <x:c r="C104" t="inlineStr">
        <x:is>
          <x:t xml:space="preserve">DR-001</x:t>
        </x:is>
      </x:c>
      <x:c r="D104" t="inlineStr">
        <x:is>
          <x:t xml:space="preserve">Gabriel Samra Doral</x:t>
        </x:is>
      </x:c>
      <x:c r="E104" t="inlineStr">
        <x:is>
          <x:t xml:space="preserve">Truss</x:t>
        </x:is>
      </x:c>
      <x:c r="F104" t="inlineStr">
        <x:is>
          <x:t xml:space="preserve">TRU-CND-002</x:t>
        </x:is>
      </x:c>
      <x:c r="G104" t="inlineStr">
        <x:is>
          <x:t xml:space="preserve">Infusion Conditioner</x:t>
        </x:is>
      </x:c>
      <x:c r="H104" t="inlineStr">
        <x:is>
          <x:t xml:space="preserve">Hair Care</x:t>
        </x:is>
      </x:c>
      <x:c r="I104" t="inlineStr">
        <x:is>
          <x:t xml:space="preserve">Isaac</x:t>
        </x:is>
      </x:c>
      <x:c r="J104" t="n">
        <x:v>1</x:v>
      </x:c>
      <x:c r="K104" t="n">
        <x:v>15.25</x:v>
      </x:c>
      <x:c r="L104" t="n">
        <x:v>34</x:v>
      </x:c>
      <x:c r="M104" t="n">
        <x:v>0</x:v>
      </x:c>
      <x:c r="N104" t="n">
        <x:f>J104*L104*(1-M104)</x:f>
        <x:v>34</x:v>
      </x:c>
      <x:c r="O104" t="n">
        <x:f>J104*K104</x:f>
        <x:v>15.25</x:v>
      </x:c>
      <x:c r="P104" t="n">
        <x:f>N104-O104</x:f>
        <x:v>18.75</x:v>
      </x:c>
      <x:c r="Q104" t="n">
        <x:f>IF(N104=0,0,P104/N104)</x:f>
        <x:v>0.5514705882352942</x:v>
      </x:c>
      <x:c r="R104" t="inlineStr">
        <x:is>
          <x:t xml:space="preserve">Apple Pay</x:t>
        </x:is>
      </x:c>
      <x:c r="S104" t="inlineStr">
        <x:is>
          <x:t xml:space="preserve">Stylist Recommendation</x:t>
        </x:is>
      </x:c>
    </x:row>
    <x:row r="105">
      <x:c r="A105" t="inlineStr">
        <x:is>
          <x:t xml:space="preserve">TRX-0104</x:t>
        </x:is>
      </x:c>
      <x:c r="B105" t="n">
        <x:v>46085</x:v>
      </x:c>
      <x:c r="C105" t="inlineStr">
        <x:is>
          <x:t xml:space="preserve">DR-001</x:t>
        </x:is>
      </x:c>
      <x:c r="D105" t="inlineStr">
        <x:is>
          <x:t xml:space="preserve">Gabriel Samra Doral</x:t>
        </x:is>
      </x:c>
      <x:c r="E105" t="inlineStr">
        <x:is>
          <x:t xml:space="preserve">Sutra</x:t>
        </x:is>
      </x:c>
      <x:c r="F105" t="inlineStr">
        <x:is>
          <x:t xml:space="preserve">SUT-BLO-003</x:t>
        </x:is>
      </x:c>
      <x:c r="G105" t="inlineStr">
        <x:is>
          <x:t xml:space="preserve">Blowout Brush</x:t>
        </x:is>
      </x:c>
      <x:c r="H105" t="inlineStr">
        <x:is>
          <x:t xml:space="preserve">Hot Tools</x:t>
        </x:is>
      </x:c>
      <x:c r="I105" t="inlineStr">
        <x:is>
          <x:t xml:space="preserve">Isaac</x:t>
        </x:is>
      </x:c>
      <x:c r="J105" t="n">
        <x:v>1</x:v>
      </x:c>
      <x:c r="K105" t="n">
        <x:v>48</x:v>
      </x:c>
      <x:c r="L105" t="n">
        <x:v>119</x:v>
      </x:c>
      <x:c r="M105" t="n">
        <x:v>0</x:v>
      </x:c>
      <x:c r="N105" t="n">
        <x:f>J105*L105*(1-M105)</x:f>
        <x:v>119</x:v>
      </x:c>
      <x:c r="O105" t="n">
        <x:f>J105*K105</x:f>
        <x:v>48</x:v>
      </x:c>
      <x:c r="P105" t="n">
        <x:f>N105-O105</x:f>
        <x:v>71</x:v>
      </x:c>
      <x:c r="Q105" t="n">
        <x:f>IF(N105=0,0,P105/N105)</x:f>
        <x:v>0.5966386554621849</x:v>
      </x:c>
      <x:c r="R105" t="inlineStr">
        <x:is>
          <x:t xml:space="preserve">Cash</x:t>
        </x:is>
      </x:c>
      <x:c r="S105" t="inlineStr">
        <x:is>
          <x:t xml:space="preserve">Existing Client</x:t>
        </x:is>
      </x:c>
    </x:row>
    <x:row r="106">
      <x:c r="A106" t="inlineStr">
        <x:is>
          <x:t xml:space="preserve">TRX-0105</x:t>
        </x:is>
      </x:c>
      <x:c r="B106" t="n">
        <x:v>46110</x:v>
      </x:c>
      <x:c r="C106" t="inlineStr">
        <x:is>
          <x:t xml:space="preserve">DR-001</x:t>
        </x:is>
      </x:c>
      <x:c r="D106" t="inlineStr">
        <x:is>
          <x:t xml:space="preserve">Gabriel Samra Doral</x:t>
        </x:is>
      </x:c>
      <x:c r="E106" t="inlineStr">
        <x:is>
          <x:t xml:space="preserve">Truss</x:t>
        </x:is>
      </x:c>
      <x:c r="F106" t="inlineStr">
        <x:is>
          <x:t xml:space="preserve">TRU-SER-005</x:t>
        </x:is>
      </x:c>
      <x:c r="G106" t="inlineStr">
        <x:is>
          <x:t xml:space="preserve">Night Spa Serum</x:t>
        </x:is>
      </x:c>
      <x:c r="H106" t="inlineStr">
        <x:is>
          <x:t xml:space="preserve">Treatment</x:t>
        </x:is>
      </x:c>
      <x:c r="I106" t="inlineStr">
        <x:is>
          <x:t xml:space="preserve">Melia</x:t>
        </x:is>
      </x:c>
      <x:c r="J106" t="n">
        <x:v>2</x:v>
      </x:c>
      <x:c r="K106" t="n">
        <x:v>19.75</x:v>
      </x:c>
      <x:c r="L106" t="n">
        <x:v>48</x:v>
      </x:c>
      <x:c r="M106" t="n">
        <x:v>0</x:v>
      </x:c>
      <x:c r="N106" t="n">
        <x:f>J106*L106*(1-M106)</x:f>
        <x:v>96</x:v>
      </x:c>
      <x:c r="O106" t="n">
        <x:f>J106*K106</x:f>
        <x:v>39.5</x:v>
      </x:c>
      <x:c r="P106" t="n">
        <x:f>N106-O106</x:f>
        <x:v>56.5</x:v>
      </x:c>
      <x:c r="Q106" t="n">
        <x:f>IF(N106=0,0,P106/N106)</x:f>
        <x:v>0.5885416666666666</x:v>
      </x:c>
      <x:c r="R106" t="inlineStr">
        <x:is>
          <x:t xml:space="preserve">Apple Pay</x:t>
        </x:is>
      </x:c>
      <x:c r="S106" t="inlineStr">
        <x:is>
          <x:t xml:space="preserve">Post-Service Retail</x:t>
        </x:is>
      </x:c>
    </x:row>
    <x:row r="107">
      <x:c r="A107" t="inlineStr">
        <x:is>
          <x:t xml:space="preserve">TRX-0106</x:t>
        </x:is>
      </x:c>
      <x:c r="B107" t="n">
        <x:v>46061</x:v>
      </x:c>
      <x:c r="C107" t="inlineStr">
        <x:is>
          <x:t xml:space="preserve">DR-001</x:t>
        </x:is>
      </x:c>
      <x:c r="D107" t="inlineStr">
        <x:is>
          <x:t xml:space="preserve">Gabriel Samra Doral</x:t>
        </x:is>
      </x:c>
      <x:c r="E107" t="inlineStr">
        <x:is>
          <x:t xml:space="preserve">Sutra</x:t>
        </x:is>
      </x:c>
      <x:c r="F107" t="inlineStr">
        <x:is>
          <x:t xml:space="preserve">SUT-HSP-005</x:t>
        </x:is>
      </x:c>
      <x:c r="G107" t="inlineStr">
        <x:is>
          <x:t xml:space="preserve">Heat Spray</x:t>
        </x:is>
      </x:c>
      <x:c r="H107" t="inlineStr">
        <x:is>
          <x:t xml:space="preserve">Styling</x:t>
        </x:is>
      </x:c>
      <x:c r="I107" t="inlineStr">
        <x:is>
          <x:t xml:space="preserve">Melia</x:t>
        </x:is>
      </x:c>
      <x:c r="J107" t="n">
        <x:v>1</x:v>
      </x:c>
      <x:c r="K107" t="n">
        <x:v>9.5</x:v>
      </x:c>
      <x:c r="L107" t="n">
        <x:v>24</x:v>
      </x:c>
      <x:c r="M107" t="n">
        <x:v>0</x:v>
      </x:c>
      <x:c r="N107" t="n">
        <x:f>J107*L107*(1-M107)</x:f>
        <x:v>24</x:v>
      </x:c>
      <x:c r="O107" t="n">
        <x:f>J107*K107</x:f>
        <x:v>9.5</x:v>
      </x:c>
      <x:c r="P107" t="n">
        <x:f>N107-O107</x:f>
        <x:v>14.5</x:v>
      </x:c>
      <x:c r="Q107" t="n">
        <x:f>IF(N107=0,0,P107/N107)</x:f>
        <x:v>0.6041666666666666</x:v>
      </x:c>
      <x:c r="R107" t="inlineStr">
        <x:is>
          <x:t xml:space="preserve">Gift Card</x:t>
        </x:is>
      </x:c>
      <x:c r="S107" t="inlineStr">
        <x:is>
          <x:t xml:space="preserve">Stylist Recommendation</x:t>
        </x:is>
      </x:c>
    </x:row>
    <x:row r="108">
      <x:c r="A108" t="inlineStr">
        <x:is>
          <x:t xml:space="preserve">TRX-0107</x:t>
        </x:is>
      </x:c>
      <x:c r="B108" t="n">
        <x:v>46084</x:v>
      </x:c>
      <x:c r="C108" t="inlineStr">
        <x:is>
          <x:t xml:space="preserve">CG-001</x:t>
        </x:is>
      </x:c>
      <x:c r="D108" t="inlineStr">
        <x:is>
          <x:t xml:space="preserve">Gabriel Samra Coral Gables</x:t>
        </x:is>
      </x:c>
      <x:c r="E108" t="inlineStr">
        <x:is>
          <x:t xml:space="preserve">Sutra</x:t>
        </x:is>
      </x:c>
      <x:c r="F108" t="inlineStr">
        <x:is>
          <x:t xml:space="preserve">SUT-FIR-001</x:t>
        </x:is>
      </x:c>
      <x:c r="G108" t="inlineStr">
        <x:is>
          <x:t xml:space="preserve">Mini Flat Iron</x:t>
        </x:is>
      </x:c>
      <x:c r="H108" t="inlineStr">
        <x:is>
          <x:t xml:space="preserve">Hot Tools</x:t>
        </x:is>
      </x:c>
      <x:c r="I108" t="inlineStr">
        <x:is>
          <x:t xml:space="preserve">Melia</x:t>
        </x:is>
      </x:c>
      <x:c r="J108" t="n">
        <x:v>1</x:v>
      </x:c>
      <x:c r="K108" t="n">
        <x:v>38</x:v>
      </x:c>
      <x:c r="L108" t="n">
        <x:v>89</x:v>
      </x:c>
      <x:c r="M108" t="n">
        <x:v>0</x:v>
      </x:c>
      <x:c r="N108" t="n">
        <x:f>J108*L108*(1-M108)</x:f>
        <x:v>89</x:v>
      </x:c>
      <x:c r="O108" t="n">
        <x:f>J108*K108</x:f>
        <x:v>38</x:v>
      </x:c>
      <x:c r="P108" t="n">
        <x:f>N108-O108</x:f>
        <x:v>51</x:v>
      </x:c>
      <x:c r="Q108" t="n">
        <x:f>IF(N108=0,0,P108/N108)</x:f>
        <x:v>0.5730337078651685</x:v>
      </x:c>
      <x:c r="R108" t="inlineStr">
        <x:is>
          <x:t xml:space="preserve">Card</x:t>
        </x:is>
      </x:c>
      <x:c r="S108" t="inlineStr">
        <x:is>
          <x:t xml:space="preserve">Post-Service Retail</x:t>
        </x:is>
      </x:c>
    </x:row>
    <x:row r="109">
      <x:c r="A109" t="inlineStr">
        <x:is>
          <x:t xml:space="preserve">TRX-0108</x:t>
        </x:is>
      </x:c>
      <x:c r="B109" t="n">
        <x:v>46121</x:v>
      </x:c>
      <x:c r="C109" t="inlineStr">
        <x:is>
          <x:t xml:space="preserve">DR-001</x:t>
        </x:is>
      </x:c>
      <x:c r="D109" t="inlineStr">
        <x:is>
          <x:t xml:space="preserve">Gabriel Samra Doral</x:t>
        </x:is>
      </x:c>
      <x:c r="E109" t="inlineStr">
        <x:is>
          <x:t xml:space="preserve">Sutra</x:t>
        </x:is>
      </x:c>
      <x:c r="F109" t="inlineStr">
        <x:is>
          <x:t xml:space="preserve">SUT-BLO-003</x:t>
        </x:is>
      </x:c>
      <x:c r="G109" t="inlineStr">
        <x:is>
          <x:t xml:space="preserve">Blowout Brush</x:t>
        </x:is>
      </x:c>
      <x:c r="H109" t="inlineStr">
        <x:is>
          <x:t xml:space="preserve">Hot Tools</x:t>
        </x:is>
      </x:c>
      <x:c r="I109" t="inlineStr">
        <x:is>
          <x:t xml:space="preserve">Isaac</x:t>
        </x:is>
      </x:c>
      <x:c r="J109" t="n">
        <x:v>3</x:v>
      </x:c>
      <x:c r="K109" t="n">
        <x:v>48</x:v>
      </x:c>
      <x:c r="L109" t="n">
        <x:v>119</x:v>
      </x:c>
      <x:c r="M109" t="n">
        <x:v>0.05</x:v>
      </x:c>
      <x:c r="N109" t="n">
        <x:f>J109*L109*(1-M109)</x:f>
        <x:v>339.15</x:v>
      </x:c>
      <x:c r="O109" t="n">
        <x:f>J109*K109</x:f>
        <x:v>144</x:v>
      </x:c>
      <x:c r="P109" t="n">
        <x:f>N109-O109</x:f>
        <x:v>195.14999999999998</x:v>
      </x:c>
      <x:c r="Q109" t="n">
        <x:f>IF(N109=0,0,P109/N109)</x:f>
        <x:v>0.5754091110128261</x:v>
      </x:c>
      <x:c r="R109" t="inlineStr">
        <x:is>
          <x:t xml:space="preserve">Gift Card</x:t>
        </x:is>
      </x:c>
      <x:c r="S109" t="inlineStr">
        <x:is>
          <x:t xml:space="preserve">Existing Client</x:t>
        </x:is>
      </x:c>
    </x:row>
    <x:row r="110">
      <x:c r="A110" t="inlineStr">
        <x:is>
          <x:t xml:space="preserve">TRX-0109</x:t>
        </x:is>
      </x:c>
      <x:c r="B110" t="n">
        <x:v>46048</x:v>
      </x:c>
      <x:c r="C110" t="inlineStr">
        <x:is>
          <x:t xml:space="preserve">DR-001</x:t>
        </x:is>
      </x:c>
      <x:c r="D110" t="inlineStr">
        <x:is>
          <x:t xml:space="preserve">Gabriel Samra Doral</x:t>
        </x:is>
      </x:c>
      <x:c r="E110" t="inlineStr">
        <x:is>
          <x:t xml:space="preserve">Truss</x:t>
        </x:is>
      </x:c>
      <x:c r="F110" t="inlineStr">
        <x:is>
          <x:t xml:space="preserve">TRU-MSK-003</x:t>
        </x:is>
      </x:c>
      <x:c r="G110" t="inlineStr">
        <x:is>
          <x:t xml:space="preserve">Net Mask</x:t>
        </x:is>
      </x:c>
      <x:c r="H110" t="inlineStr">
        <x:is>
          <x:t xml:space="preserve">Treatment</x:t>
        </x:is>
      </x:c>
      <x:c r="I110" t="inlineStr">
        <x:is>
          <x:t xml:space="preserve">Magaly</x:t>
        </x:is>
      </x:c>
      <x:c r="J110" t="n">
        <x:v>2</x:v>
      </x:c>
      <x:c r="K110" t="n">
        <x:v>20</x:v>
      </x:c>
      <x:c r="L110" t="n">
        <x:v>45</x:v>
      </x:c>
      <x:c r="M110" t="n">
        <x:v>0</x:v>
      </x:c>
      <x:c r="N110" t="n">
        <x:f>J110*L110*(1-M110)</x:f>
        <x:v>90</x:v>
      </x:c>
      <x:c r="O110" t="n">
        <x:f>J110*K110</x:f>
        <x:v>40</x:v>
      </x:c>
      <x:c r="P110" t="n">
        <x:f>N110-O110</x:f>
        <x:v>50</x:v>
      </x:c>
      <x:c r="Q110" t="n">
        <x:f>IF(N110=0,0,P110/N110)</x:f>
        <x:v>0.5555555555555556</x:v>
      </x:c>
      <x:c r="R110" t="inlineStr">
        <x:is>
          <x:t xml:space="preserve">Card</x:t>
        </x:is>
      </x:c>
      <x:c r="S110" t="inlineStr">
        <x:is>
          <x:t xml:space="preserve">Walk-in Client</x:t>
        </x:is>
      </x:c>
    </x:row>
    <x:row r="111">
      <x:c r="A111" t="inlineStr">
        <x:is>
          <x:t xml:space="preserve">TRX-0110</x:t>
        </x:is>
      </x:c>
      <x:c r="B111" t="n">
        <x:v>46042</x:v>
      </x:c>
      <x:c r="C111" t="inlineStr">
        <x:is>
          <x:t xml:space="preserve">CG-001</x:t>
        </x:is>
      </x:c>
      <x:c r="D111" t="inlineStr">
        <x:is>
          <x:t xml:space="preserve">Gabriel Samra Coral Gables</x:t>
        </x:is>
      </x:c>
      <x:c r="E111" t="inlineStr">
        <x:is>
          <x:t xml:space="preserve">Sutra</x:t>
        </x:is>
      </x:c>
      <x:c r="F111" t="inlineStr">
        <x:is>
          <x:t xml:space="preserve">SUT-CUR-002</x:t>
        </x:is>
      </x:c>
      <x:c r="G111" t="inlineStr">
        <x:is>
          <x:t xml:space="preserve">Clipless Curling Iron</x:t>
        </x:is>
      </x:c>
      <x:c r="H111" t="inlineStr">
        <x:is>
          <x:t xml:space="preserve">Hot Tools</x:t>
        </x:is>
      </x:c>
      <x:c r="I111" t="inlineStr">
        <x:is>
          <x:t xml:space="preserve">Melia</x:t>
        </x:is>
      </x:c>
      <x:c r="J111" t="n">
        <x:v>1</x:v>
      </x:c>
      <x:c r="K111" t="n">
        <x:v>42</x:v>
      </x:c>
      <x:c r="L111" t="n">
        <x:v>99</x:v>
      </x:c>
      <x:c r="M111" t="n">
        <x:v>0.1</x:v>
      </x:c>
      <x:c r="N111" t="n">
        <x:f>J111*L111*(1-M111)</x:f>
        <x:v>89.10000000000001</x:v>
      </x:c>
      <x:c r="O111" t="n">
        <x:f>J111*K111</x:f>
        <x:v>42</x:v>
      </x:c>
      <x:c r="P111" t="n">
        <x:f>N111-O111</x:f>
        <x:v>47.10000000000001</x:v>
      </x:c>
      <x:c r="Q111" t="n">
        <x:f>IF(N111=0,0,P111/N111)</x:f>
        <x:v>0.5286195286195287</x:v>
      </x:c>
      <x:c r="R111" t="inlineStr">
        <x:is>
          <x:t xml:space="preserve">Gift Card</x:t>
        </x:is>
      </x:c>
      <x:c r="S111" t="inlineStr">
        <x:is>
          <x:t xml:space="preserve">Existing Client</x:t>
        </x:is>
      </x:c>
    </x:row>
    <x:row r="112">
      <x:c r="A112" t="inlineStr">
        <x:is>
          <x:t xml:space="preserve">TRX-0111</x:t>
        </x:is>
      </x:c>
      <x:c r="B112" t="n">
        <x:v>46104</x:v>
      </x:c>
      <x:c r="C112" t="inlineStr">
        <x:is>
          <x:t xml:space="preserve">DR-001</x:t>
        </x:is>
      </x:c>
      <x:c r="D112" t="inlineStr">
        <x:is>
          <x:t xml:space="preserve">Gabriel Samra Doral</x:t>
        </x:is>
      </x:c>
      <x:c r="E112" t="inlineStr">
        <x:is>
          <x:t xml:space="preserve">Sutra</x:t>
        </x:is>
      </x:c>
      <x:c r="F112" t="inlineStr">
        <x:is>
          <x:t xml:space="preserve">SUT-FIR-001</x:t>
        </x:is>
      </x:c>
      <x:c r="G112" t="inlineStr">
        <x:is>
          <x:t xml:space="preserve">Mini Flat Iron</x:t>
        </x:is>
      </x:c>
      <x:c r="H112" t="inlineStr">
        <x:is>
          <x:t xml:space="preserve">Hot Tools</x:t>
        </x:is>
      </x:c>
      <x:c r="I112" t="inlineStr">
        <x:is>
          <x:t xml:space="preserve">Magaly</x:t>
        </x:is>
      </x:c>
      <x:c r="J112" t="n">
        <x:v>1</x:v>
      </x:c>
      <x:c r="K112" t="n">
        <x:v>38</x:v>
      </x:c>
      <x:c r="L112" t="n">
        <x:v>89</x:v>
      </x:c>
      <x:c r="M112" t="n">
        <x:v>0.1</x:v>
      </x:c>
      <x:c r="N112" t="n">
        <x:f>J112*L112*(1-M112)</x:f>
        <x:v>80.10000000000001</x:v>
      </x:c>
      <x:c r="O112" t="n">
        <x:f>J112*K112</x:f>
        <x:v>38</x:v>
      </x:c>
      <x:c r="P112" t="n">
        <x:f>N112-O112</x:f>
        <x:v>42.10000000000001</x:v>
      </x:c>
      <x:c r="Q112" t="n">
        <x:f>IF(N112=0,0,P112/N112)</x:f>
        <x:v>0.5255930087390762</x:v>
      </x:c>
      <x:c r="R112" t="inlineStr">
        <x:is>
          <x:t xml:space="preserve">Card</x:t>
        </x:is>
      </x:c>
      <x:c r="S112" t="inlineStr">
        <x:is>
          <x:t xml:space="preserve">Existing Client</x:t>
        </x:is>
      </x:c>
    </x:row>
    <x:row r="113">
      <x:c r="A113" t="inlineStr">
        <x:is>
          <x:t xml:space="preserve">TRX-0112</x:t>
        </x:is>
      </x:c>
      <x:c r="B113" t="n">
        <x:v>46081</x:v>
      </x:c>
      <x:c r="C113" t="inlineStr">
        <x:is>
          <x:t xml:space="preserve">DR-001</x:t>
        </x:is>
      </x:c>
      <x:c r="D113" t="inlineStr">
        <x:is>
          <x:t xml:space="preserve">Gabriel Samra Doral</x:t>
        </x:is>
      </x:c>
      <x:c r="E113" t="inlineStr">
        <x:is>
          <x:t xml:space="preserve">Truss</x:t>
        </x:is>
      </x:c>
      <x:c r="F113" t="inlineStr">
        <x:is>
          <x:t xml:space="preserve">TRU-OIL-004</x:t>
        </x:is>
      </x:c>
      <x:c r="G113" t="inlineStr">
        <x:is>
          <x:t xml:space="preserve">Deluxe Prime Oil</x:t>
        </x:is>
      </x:c>
      <x:c r="H113" t="inlineStr">
        <x:is>
          <x:t xml:space="preserve">Finishing</x:t>
        </x:is>
      </x:c>
      <x:c r="I113" t="inlineStr">
        <x:is>
          <x:t xml:space="preserve">Magaly</x:t>
        </x:is>
      </x:c>
      <x:c r="J113" t="n">
        <x:v>1</x:v>
      </x:c>
      <x:c r="K113" t="n">
        <x:v>18</x:v>
      </x:c>
      <x:c r="L113" t="n">
        <x:v>42</x:v>
      </x:c>
      <x:c r="M113" t="n">
        <x:v>0</x:v>
      </x:c>
      <x:c r="N113" t="n">
        <x:f>J113*L113*(1-M113)</x:f>
        <x:v>42</x:v>
      </x:c>
      <x:c r="O113" t="n">
        <x:f>J113*K113</x:f>
        <x:v>18</x:v>
      </x:c>
      <x:c r="P113" t="n">
        <x:f>N113-O113</x:f>
        <x:v>24</x:v>
      </x:c>
      <x:c r="Q113" t="n">
        <x:f>IF(N113=0,0,P113/N113)</x:f>
        <x:v>0.5714285714285714</x:v>
      </x:c>
      <x:c r="R113" t="inlineStr">
        <x:is>
          <x:t xml:space="preserve">Card</x:t>
        </x:is>
      </x:c>
      <x:c r="S113" t="inlineStr">
        <x:is>
          <x:t xml:space="preserve">Stylist Recommendation</x:t>
        </x:is>
      </x:c>
    </x:row>
    <x:row r="114">
      <x:c r="A114" t="inlineStr">
        <x:is>
          <x:t xml:space="preserve">TRX-0113</x:t>
        </x:is>
      </x:c>
      <x:c r="B114" t="n">
        <x:v>46030</x:v>
      </x:c>
      <x:c r="C114" t="inlineStr">
        <x:is>
          <x:t xml:space="preserve">DR-001</x:t>
        </x:is>
      </x:c>
      <x:c r="D114" t="inlineStr">
        <x:is>
          <x:t xml:space="preserve">Gabriel Samra Doral</x:t>
        </x:is>
      </x:c>
      <x:c r="E114" t="inlineStr">
        <x:is>
          <x:t xml:space="preserve">Truss</x:t>
        </x:is>
      </x:c>
      <x:c r="F114" t="inlineStr">
        <x:is>
          <x:t xml:space="preserve">TRU-MSK-003</x:t>
        </x:is>
      </x:c>
      <x:c r="G114" t="inlineStr">
        <x:is>
          <x:t xml:space="preserve">Net Mask</x:t>
        </x:is>
      </x:c>
      <x:c r="H114" t="inlineStr">
        <x:is>
          <x:t xml:space="preserve">Treatment</x:t>
        </x:is>
      </x:c>
      <x:c r="I114" t="inlineStr">
        <x:is>
          <x:t xml:space="preserve">Isaac</x:t>
        </x:is>
      </x:c>
      <x:c r="J114" t="n">
        <x:v>1</x:v>
      </x:c>
      <x:c r="K114" t="n">
        <x:v>20</x:v>
      </x:c>
      <x:c r="L114" t="n">
        <x:v>45</x:v>
      </x:c>
      <x:c r="M114" t="n">
        <x:v>0.05</x:v>
      </x:c>
      <x:c r="N114" t="n">
        <x:f>J114*L114*(1-M114)</x:f>
        <x:v>42.75</x:v>
      </x:c>
      <x:c r="O114" t="n">
        <x:f>J114*K114</x:f>
        <x:v>20</x:v>
      </x:c>
      <x:c r="P114" t="n">
        <x:f>N114-O114</x:f>
        <x:v>22.75</x:v>
      </x:c>
      <x:c r="Q114" t="n">
        <x:f>IF(N114=0,0,P114/N114)</x:f>
        <x:v>0.5321637426900585</x:v>
      </x:c>
      <x:c r="R114" t="inlineStr">
        <x:is>
          <x:t xml:space="preserve">Apple Pay</x:t>
        </x:is>
      </x:c>
      <x:c r="S114" t="inlineStr">
        <x:is>
          <x:t xml:space="preserve">Post-Service Retail</x:t>
        </x:is>
      </x:c>
    </x:row>
    <x:row r="115">
      <x:c r="A115" t="inlineStr">
        <x:is>
          <x:t xml:space="preserve">TRX-0114</x:t>
        </x:is>
      </x:c>
      <x:c r="B115" t="n">
        <x:v>46085</x:v>
      </x:c>
      <x:c r="C115" t="inlineStr">
        <x:is>
          <x:t xml:space="preserve">CG-001</x:t>
        </x:is>
      </x:c>
      <x:c r="D115" t="inlineStr">
        <x:is>
          <x:t xml:space="preserve">Gabriel Samra Coral Gables</x:t>
        </x:is>
      </x:c>
      <x:c r="E115" t="inlineStr">
        <x:is>
          <x:t xml:space="preserve">Sutra</x:t>
        </x:is>
      </x:c>
      <x:c r="F115" t="inlineStr">
        <x:is>
          <x:t xml:space="preserve">SUT-CUR-002</x:t>
        </x:is>
      </x:c>
      <x:c r="G115" t="inlineStr">
        <x:is>
          <x:t xml:space="preserve">Clipless Curling Iron</x:t>
        </x:is>
      </x:c>
      <x:c r="H115" t="inlineStr">
        <x:is>
          <x:t xml:space="preserve">Hot Tools</x:t>
        </x:is>
      </x:c>
      <x:c r="I115" t="inlineStr">
        <x:is>
          <x:t xml:space="preserve">Isaac</x:t>
        </x:is>
      </x:c>
      <x:c r="J115" t="n">
        <x:v>1</x:v>
      </x:c>
      <x:c r="K115" t="n">
        <x:v>42</x:v>
      </x:c>
      <x:c r="L115" t="n">
        <x:v>99</x:v>
      </x:c>
      <x:c r="M115" t="n">
        <x:v>0</x:v>
      </x:c>
      <x:c r="N115" t="n">
        <x:f>J115*L115*(1-M115)</x:f>
        <x:v>99</x:v>
      </x:c>
      <x:c r="O115" t="n">
        <x:f>J115*K115</x:f>
        <x:v>42</x:v>
      </x:c>
      <x:c r="P115" t="n">
        <x:f>N115-O115</x:f>
        <x:v>57</x:v>
      </x:c>
      <x:c r="Q115" t="n">
        <x:f>IF(N115=0,0,P115/N115)</x:f>
        <x:v>0.5757575757575758</x:v>
      </x:c>
      <x:c r="R115" t="inlineStr">
        <x:is>
          <x:t xml:space="preserve">Cash</x:t>
        </x:is>
      </x:c>
      <x:c r="S115" t="inlineStr">
        <x:is>
          <x:t xml:space="preserve">Walk-in Client</x:t>
        </x:is>
      </x:c>
    </x:row>
    <x:row r="116">
      <x:c r="A116" t="inlineStr">
        <x:is>
          <x:t xml:space="preserve">TRX-0115</x:t>
        </x:is>
      </x:c>
      <x:c r="B116" t="n">
        <x:v>46084</x:v>
      </x:c>
      <x:c r="C116" t="inlineStr">
        <x:is>
          <x:t xml:space="preserve">DR-001</x:t>
        </x:is>
      </x:c>
      <x:c r="D116" t="inlineStr">
        <x:is>
          <x:t xml:space="preserve">Gabriel Samra Doral</x:t>
        </x:is>
      </x:c>
      <x:c r="E116" t="inlineStr">
        <x:is>
          <x:t xml:space="preserve">Truss</x:t>
        </x:is>
      </x:c>
      <x:c r="F116" t="inlineStr">
        <x:is>
          <x:t xml:space="preserve">TRU-CND-002</x:t>
        </x:is>
      </x:c>
      <x:c r="G116" t="inlineStr">
        <x:is>
          <x:t xml:space="preserve">Infusion Conditioner</x:t>
        </x:is>
      </x:c>
      <x:c r="H116" t="inlineStr">
        <x:is>
          <x:t xml:space="preserve">Hair Care</x:t>
        </x:is>
      </x:c>
      <x:c r="I116" t="inlineStr">
        <x:is>
          <x:t xml:space="preserve">Isaac</x:t>
        </x:is>
      </x:c>
      <x:c r="J116" t="n">
        <x:v>1</x:v>
      </x:c>
      <x:c r="K116" t="n">
        <x:v>15.25</x:v>
      </x:c>
      <x:c r="L116" t="n">
        <x:v>34</x:v>
      </x:c>
      <x:c r="M116" t="n">
        <x:v>0</x:v>
      </x:c>
      <x:c r="N116" t="n">
        <x:f>J116*L116*(1-M116)</x:f>
        <x:v>34</x:v>
      </x:c>
      <x:c r="O116" t="n">
        <x:f>J116*K116</x:f>
        <x:v>15.25</x:v>
      </x:c>
      <x:c r="P116" t="n">
        <x:f>N116-O116</x:f>
        <x:v>18.75</x:v>
      </x:c>
      <x:c r="Q116" t="n">
        <x:f>IF(N116=0,0,P116/N116)</x:f>
        <x:v>0.5514705882352942</x:v>
      </x:c>
      <x:c r="R116" t="inlineStr">
        <x:is>
          <x:t xml:space="preserve">Gift Card</x:t>
        </x:is>
      </x:c>
      <x:c r="S116" t="inlineStr">
        <x:is>
          <x:t xml:space="preserve">Post-Service Retail</x:t>
        </x:is>
      </x:c>
    </x:row>
    <x:row r="117">
      <x:c r="A117" t="inlineStr">
        <x:is>
          <x:t xml:space="preserve">TRX-0116</x:t>
        </x:is>
      </x:c>
      <x:c r="B117" t="n">
        <x:v>46025</x:v>
      </x:c>
      <x:c r="C117" t="inlineStr">
        <x:is>
          <x:t xml:space="preserve">DR-001</x:t>
        </x:is>
      </x:c>
      <x:c r="D117" t="inlineStr">
        <x:is>
          <x:t xml:space="preserve">Gabriel Samra Doral</x:t>
        </x:is>
      </x:c>
      <x:c r="E117" t="inlineStr">
        <x:is>
          <x:t xml:space="preserve">Sutra</x:t>
        </x:is>
      </x:c>
      <x:c r="F117" t="inlineStr">
        <x:is>
          <x:t xml:space="preserve">SUT-BLO-003</x:t>
        </x:is>
      </x:c>
      <x:c r="G117" t="inlineStr">
        <x:is>
          <x:t xml:space="preserve">Blowout Brush</x:t>
        </x:is>
      </x:c>
      <x:c r="H117" t="inlineStr">
        <x:is>
          <x:t xml:space="preserve">Hot Tools</x:t>
        </x:is>
      </x:c>
      <x:c r="I117" t="inlineStr">
        <x:is>
          <x:t xml:space="preserve">Isaac</x:t>
        </x:is>
      </x:c>
      <x:c r="J117" t="n">
        <x:v>2</x:v>
      </x:c>
      <x:c r="K117" t="n">
        <x:v>48</x:v>
      </x:c>
      <x:c r="L117" t="n">
        <x:v>119</x:v>
      </x:c>
      <x:c r="M117" t="n">
        <x:v>0</x:v>
      </x:c>
      <x:c r="N117" t="n">
        <x:f>J117*L117*(1-M117)</x:f>
        <x:v>238</x:v>
      </x:c>
      <x:c r="O117" t="n">
        <x:f>J117*K117</x:f>
        <x:v>96</x:v>
      </x:c>
      <x:c r="P117" t="n">
        <x:f>N117-O117</x:f>
        <x:v>142</x:v>
      </x:c>
      <x:c r="Q117" t="n">
        <x:f>IF(N117=0,0,P117/N117)</x:f>
        <x:v>0.5966386554621849</x:v>
      </x:c>
      <x:c r="R117" t="inlineStr">
        <x:is>
          <x:t xml:space="preserve">Cash</x:t>
        </x:is>
      </x:c>
      <x:c r="S117" t="inlineStr">
        <x:is>
          <x:t xml:space="preserve">Existing Client</x:t>
        </x:is>
      </x:c>
    </x:row>
    <x:row r="118">
      <x:c r="A118" t="inlineStr">
        <x:is>
          <x:t xml:space="preserve">TRX-0117</x:t>
        </x:is>
      </x:c>
      <x:c r="B118" t="n">
        <x:v>46099</x:v>
      </x:c>
      <x:c r="C118" t="inlineStr">
        <x:is>
          <x:t xml:space="preserve">DR-001</x:t>
        </x:is>
      </x:c>
      <x:c r="D118" t="inlineStr">
        <x:is>
          <x:t xml:space="preserve">Gabriel Samra Doral</x:t>
        </x:is>
      </x:c>
      <x:c r="E118" t="inlineStr">
        <x:is>
          <x:t xml:space="preserve">Sutra</x:t>
        </x:is>
      </x:c>
      <x:c r="F118" t="inlineStr">
        <x:is>
          <x:t xml:space="preserve">SUT-BLO-003</x:t>
        </x:is>
      </x:c>
      <x:c r="G118" t="inlineStr">
        <x:is>
          <x:t xml:space="preserve">Blowout Brush</x:t>
        </x:is>
      </x:c>
      <x:c r="H118" t="inlineStr">
        <x:is>
          <x:t xml:space="preserve">Hot Tools</x:t>
        </x:is>
      </x:c>
      <x:c r="I118" t="inlineStr">
        <x:is>
          <x:t xml:space="preserve">Isaac</x:t>
        </x:is>
      </x:c>
      <x:c r="J118" t="n">
        <x:v>1</x:v>
      </x:c>
      <x:c r="K118" t="n">
        <x:v>48</x:v>
      </x:c>
      <x:c r="L118" t="n">
        <x:v>119</x:v>
      </x:c>
      <x:c r="M118" t="n">
        <x:v>0</x:v>
      </x:c>
      <x:c r="N118" t="n">
        <x:f>J118*L118*(1-M118)</x:f>
        <x:v>119</x:v>
      </x:c>
      <x:c r="O118" t="n">
        <x:f>J118*K118</x:f>
        <x:v>48</x:v>
      </x:c>
      <x:c r="P118" t="n">
        <x:f>N118-O118</x:f>
        <x:v>71</x:v>
      </x:c>
      <x:c r="Q118" t="n">
        <x:f>IF(N118=0,0,P118/N118)</x:f>
        <x:v>0.5966386554621849</x:v>
      </x:c>
      <x:c r="R118" t="inlineStr">
        <x:is>
          <x:t xml:space="preserve">Gift Card</x:t>
        </x:is>
      </x:c>
      <x:c r="S118" t="inlineStr">
        <x:is>
          <x:t xml:space="preserve">Post-Service Retail</x:t>
        </x:is>
      </x:c>
    </x:row>
    <x:row r="119">
      <x:c r="A119" t="inlineStr">
        <x:is>
          <x:t xml:space="preserve">TRX-0118</x:t>
        </x:is>
      </x:c>
      <x:c r="B119" t="n">
        <x:v>46146</x:v>
      </x:c>
      <x:c r="C119" t="inlineStr">
        <x:is>
          <x:t xml:space="preserve">DR-001</x:t>
        </x:is>
      </x:c>
      <x:c r="D119" t="inlineStr">
        <x:is>
          <x:t xml:space="preserve">Gabriel Samra Doral</x:t>
        </x:is>
      </x:c>
      <x:c r="E119" t="inlineStr">
        <x:is>
          <x:t xml:space="preserve">Truss</x:t>
        </x:is>
      </x:c>
      <x:c r="F119" t="inlineStr">
        <x:is>
          <x:t xml:space="preserve">TRU-OIL-004</x:t>
        </x:is>
      </x:c>
      <x:c r="G119" t="inlineStr">
        <x:is>
          <x:t xml:space="preserve">Deluxe Prime Oil</x:t>
        </x:is>
      </x:c>
      <x:c r="H119" t="inlineStr">
        <x:is>
          <x:t xml:space="preserve">Finishing</x:t>
        </x:is>
      </x:c>
      <x:c r="I119" t="inlineStr">
        <x:is>
          <x:t xml:space="preserve">Melia</x:t>
        </x:is>
      </x:c>
      <x:c r="J119" t="n">
        <x:v>1</x:v>
      </x:c>
      <x:c r="K119" t="n">
        <x:v>18</x:v>
      </x:c>
      <x:c r="L119" t="n">
        <x:v>42</x:v>
      </x:c>
      <x:c r="M119" t="n">
        <x:v>0</x:v>
      </x:c>
      <x:c r="N119" t="n">
        <x:f>J119*L119*(1-M119)</x:f>
        <x:v>42</x:v>
      </x:c>
      <x:c r="O119" t="n">
        <x:f>J119*K119</x:f>
        <x:v>18</x:v>
      </x:c>
      <x:c r="P119" t="n">
        <x:f>N119-O119</x:f>
        <x:v>24</x:v>
      </x:c>
      <x:c r="Q119" t="n">
        <x:f>IF(N119=0,0,P119/N119)</x:f>
        <x:v>0.5714285714285714</x:v>
      </x:c>
      <x:c r="R119" t="inlineStr">
        <x:is>
          <x:t xml:space="preserve">Apple Pay</x:t>
        </x:is>
      </x:c>
      <x:c r="S119" t="inlineStr">
        <x:is>
          <x:t xml:space="preserve">Post-Service Retail</x:t>
        </x:is>
      </x:c>
    </x:row>
    <x:row r="120">
      <x:c r="A120" t="inlineStr">
        <x:is>
          <x:t xml:space="preserve">TRX-0119</x:t>
        </x:is>
      </x:c>
      <x:c r="B120" t="n">
        <x:v>46093</x:v>
      </x:c>
      <x:c r="C120" t="inlineStr">
        <x:is>
          <x:t xml:space="preserve">DR-001</x:t>
        </x:is>
      </x:c>
      <x:c r="D120" t="inlineStr">
        <x:is>
          <x:t xml:space="preserve">Gabriel Samra Doral</x:t>
        </x:is>
      </x:c>
      <x:c r="E120" t="inlineStr">
        <x:is>
          <x:t xml:space="preserve">Truss</x:t>
        </x:is>
      </x:c>
      <x:c r="F120" t="inlineStr">
        <x:is>
          <x:t xml:space="preserve">TRU-SHP-001</x:t>
        </x:is>
      </x:c>
      <x:c r="G120" t="inlineStr">
        <x:is>
          <x:t xml:space="preserve">Infusion Shampoo</x:t>
        </x:is>
      </x:c>
      <x:c r="H120" t="inlineStr">
        <x:is>
          <x:t xml:space="preserve">Hair Care</x:t>
        </x:is>
      </x:c>
      <x:c r="I120" t="inlineStr">
        <x:is>
          <x:t xml:space="preserve">Melia</x:t>
        </x:is>
      </x:c>
      <x:c r="J120" t="n">
        <x:v>1</x:v>
      </x:c>
      <x:c r="K120" t="n">
        <x:v>14.5</x:v>
      </x:c>
      <x:c r="L120" t="n">
        <x:v>32</x:v>
      </x:c>
      <x:c r="M120" t="n">
        <x:v>0.1</x:v>
      </x:c>
      <x:c r="N120" t="n">
        <x:f>J120*L120*(1-M120)</x:f>
        <x:v>28.8</x:v>
      </x:c>
      <x:c r="O120" t="n">
        <x:f>J120*K120</x:f>
        <x:v>14.5</x:v>
      </x:c>
      <x:c r="P120" t="n">
        <x:f>N120-O120</x:f>
        <x:v>14.3</x:v>
      </x:c>
      <x:c r="Q120" t="n">
        <x:f>IF(N120=0,0,P120/N120)</x:f>
        <x:v>0.4965277777777778</x:v>
      </x:c>
      <x:c r="R120" t="inlineStr">
        <x:is>
          <x:t xml:space="preserve">Gift Card</x:t>
        </x:is>
      </x:c>
      <x:c r="S120" t="inlineStr">
        <x:is>
          <x:t xml:space="preserve">Post-Service Retail</x:t>
        </x:is>
      </x:c>
    </x:row>
    <x:row r="121">
      <x:c r="A121" t="inlineStr">
        <x:is>
          <x:t xml:space="preserve">TRX-0120</x:t>
        </x:is>
      </x:c>
      <x:c r="B121" t="n">
        <x:v>46079</x:v>
      </x:c>
      <x:c r="C121" t="inlineStr">
        <x:is>
          <x:t xml:space="preserve">DR-001</x:t>
        </x:is>
      </x:c>
      <x:c r="D121" t="inlineStr">
        <x:is>
          <x:t xml:space="preserve">Gabriel Samra Doral</x:t>
        </x:is>
      </x:c>
      <x:c r="E121" t="inlineStr">
        <x:is>
          <x:t xml:space="preserve">Truss</x:t>
        </x:is>
      </x:c>
      <x:c r="F121" t="inlineStr">
        <x:is>
          <x:t xml:space="preserve">TRU-OIL-004</x:t>
        </x:is>
      </x:c>
      <x:c r="G121" t="inlineStr">
        <x:is>
          <x:t xml:space="preserve">Deluxe Prime Oil</x:t>
        </x:is>
      </x:c>
      <x:c r="H121" t="inlineStr">
        <x:is>
          <x:t xml:space="preserve">Finishing</x:t>
        </x:is>
      </x:c>
      <x:c r="I121" t="inlineStr">
        <x:is>
          <x:t xml:space="preserve">Isaac</x:t>
        </x:is>
      </x:c>
      <x:c r="J121" t="n">
        <x:v>1</x:v>
      </x:c>
      <x:c r="K121" t="n">
        <x:v>18</x:v>
      </x:c>
      <x:c r="L121" t="n">
        <x:v>42</x:v>
      </x:c>
      <x:c r="M121" t="n">
        <x:v>0</x:v>
      </x:c>
      <x:c r="N121" t="n">
        <x:f>J121*L121*(1-M121)</x:f>
        <x:v>42</x:v>
      </x:c>
      <x:c r="O121" t="n">
        <x:f>J121*K121</x:f>
        <x:v>18</x:v>
      </x:c>
      <x:c r="P121" t="n">
        <x:f>N121-O121</x:f>
        <x:v>24</x:v>
      </x:c>
      <x:c r="Q121" t="n">
        <x:f>IF(N121=0,0,P121/N121)</x:f>
        <x:v>0.5714285714285714</x:v>
      </x:c>
      <x:c r="R121" t="inlineStr">
        <x:is>
          <x:t xml:space="preserve">Card</x:t>
        </x:is>
      </x:c>
      <x:c r="S121" t="inlineStr">
        <x:is>
          <x:t xml:space="preserve">Existing Client</x:t>
        </x:is>
      </x:c>
    </x:row>
    <x:row r="122">
      <x:c r="A122" t="inlineStr">
        <x:is>
          <x:t xml:space="preserve">TRX-0121</x:t>
        </x:is>
      </x:c>
      <x:c r="B122" t="n">
        <x:v>46031</x:v>
      </x:c>
      <x:c r="C122" t="inlineStr">
        <x:is>
          <x:t xml:space="preserve">DR-001</x:t>
        </x:is>
      </x:c>
      <x:c r="D122" t="inlineStr">
        <x:is>
          <x:t xml:space="preserve">Gabriel Samra Doral</x:t>
        </x:is>
      </x:c>
      <x:c r="E122" t="inlineStr">
        <x:is>
          <x:t xml:space="preserve">Truss</x:t>
        </x:is>
      </x:c>
      <x:c r="F122" t="inlineStr">
        <x:is>
          <x:t xml:space="preserve">TRU-SER-005</x:t>
        </x:is>
      </x:c>
      <x:c r="G122" t="inlineStr">
        <x:is>
          <x:t xml:space="preserve">Night Spa Serum</x:t>
        </x:is>
      </x:c>
      <x:c r="H122" t="inlineStr">
        <x:is>
          <x:t xml:space="preserve">Treatment</x:t>
        </x:is>
      </x:c>
      <x:c r="I122" t="inlineStr">
        <x:is>
          <x:t xml:space="preserve">Magaly</x:t>
        </x:is>
      </x:c>
      <x:c r="J122" t="n">
        <x:v>1</x:v>
      </x:c>
      <x:c r="K122" t="n">
        <x:v>19.75</x:v>
      </x:c>
      <x:c r="L122" t="n">
        <x:v>48</x:v>
      </x:c>
      <x:c r="M122" t="n">
        <x:v>0.05</x:v>
      </x:c>
      <x:c r="N122" t="n">
        <x:f>J122*L122*(1-M122)</x:f>
        <x:v>45.599999999999994</x:v>
      </x:c>
      <x:c r="O122" t="n">
        <x:f>J122*K122</x:f>
        <x:v>19.75</x:v>
      </x:c>
      <x:c r="P122" t="n">
        <x:f>N122-O122</x:f>
        <x:v>25.849999999999994</x:v>
      </x:c>
      <x:c r="Q122" t="n">
        <x:f>IF(N122=0,0,P122/N122)</x:f>
        <x:v>0.5668859649122806</x:v>
      </x:c>
      <x:c r="R122" t="inlineStr">
        <x:is>
          <x:t xml:space="preserve">Apple Pay</x:t>
        </x:is>
      </x:c>
      <x:c r="S122" t="inlineStr">
        <x:is>
          <x:t xml:space="preserve">Post-Service Retail</x:t>
        </x:is>
      </x:c>
    </x:row>
    <x:row r="123">
      <x:c r="A123" t="inlineStr">
        <x:is>
          <x:t xml:space="preserve">TRX-0122</x:t>
        </x:is>
      </x:c>
      <x:c r="B123" t="n">
        <x:v>46074</x:v>
      </x:c>
      <x:c r="C123" t="inlineStr">
        <x:is>
          <x:t xml:space="preserve">CG-001</x:t>
        </x:is>
      </x:c>
      <x:c r="D123" t="inlineStr">
        <x:is>
          <x:t xml:space="preserve">Gabriel Samra Coral Gables</x:t>
        </x:is>
      </x:c>
      <x:c r="E123" t="inlineStr">
        <x:is>
          <x:t xml:space="preserve">Sutra</x:t>
        </x:is>
      </x:c>
      <x:c r="F123" t="inlineStr">
        <x:is>
          <x:t xml:space="preserve">SUT-CUR-002</x:t>
        </x:is>
      </x:c>
      <x:c r="G123" t="inlineStr">
        <x:is>
          <x:t xml:space="preserve">Clipless Curling Iron</x:t>
        </x:is>
      </x:c>
      <x:c r="H123" t="inlineStr">
        <x:is>
          <x:t xml:space="preserve">Hot Tools</x:t>
        </x:is>
      </x:c>
      <x:c r="I123" t="inlineStr">
        <x:is>
          <x:t xml:space="preserve">Melia</x:t>
        </x:is>
      </x:c>
      <x:c r="J123" t="n">
        <x:v>1</x:v>
      </x:c>
      <x:c r="K123" t="n">
        <x:v>42</x:v>
      </x:c>
      <x:c r="L123" t="n">
        <x:v>99</x:v>
      </x:c>
      <x:c r="M123" t="n">
        <x:v>0</x:v>
      </x:c>
      <x:c r="N123" t="n">
        <x:f>J123*L123*(1-M123)</x:f>
        <x:v>99</x:v>
      </x:c>
      <x:c r="O123" t="n">
        <x:f>J123*K123</x:f>
        <x:v>42</x:v>
      </x:c>
      <x:c r="P123" t="n">
        <x:f>N123-O123</x:f>
        <x:v>57</x:v>
      </x:c>
      <x:c r="Q123" t="n">
        <x:f>IF(N123=0,0,P123/N123)</x:f>
        <x:v>0.5757575757575758</x:v>
      </x:c>
      <x:c r="R123" t="inlineStr">
        <x:is>
          <x:t xml:space="preserve">Apple Pay</x:t>
        </x:is>
      </x:c>
      <x:c r="S123" t="inlineStr">
        <x:is>
          <x:t xml:space="preserve">Walk-in Client</x:t>
        </x:is>
      </x:c>
    </x:row>
    <x:row r="124">
      <x:c r="A124" t="inlineStr">
        <x:is>
          <x:t xml:space="preserve">TRX-0123</x:t>
        </x:is>
      </x:c>
      <x:c r="B124" t="n">
        <x:v>46098</x:v>
      </x:c>
      <x:c r="C124" t="inlineStr">
        <x:is>
          <x:t xml:space="preserve">DR-001</x:t>
        </x:is>
      </x:c>
      <x:c r="D124" t="inlineStr">
        <x:is>
          <x:t xml:space="preserve">Gabriel Samra Doral</x:t>
        </x:is>
      </x:c>
      <x:c r="E124" t="inlineStr">
        <x:is>
          <x:t xml:space="preserve">Truss</x:t>
        </x:is>
      </x:c>
      <x:c r="F124" t="inlineStr">
        <x:is>
          <x:t xml:space="preserve">TRU-SER-005</x:t>
        </x:is>
      </x:c>
      <x:c r="G124" t="inlineStr">
        <x:is>
          <x:t xml:space="preserve">Night Spa Serum</x:t>
        </x:is>
      </x:c>
      <x:c r="H124" t="inlineStr">
        <x:is>
          <x:t xml:space="preserve">Treatment</x:t>
        </x:is>
      </x:c>
      <x:c r="I124" t="inlineStr">
        <x:is>
          <x:t xml:space="preserve">Magaly</x:t>
        </x:is>
      </x:c>
      <x:c r="J124" t="n">
        <x:v>1</x:v>
      </x:c>
      <x:c r="K124" t="n">
        <x:v>19.75</x:v>
      </x:c>
      <x:c r="L124" t="n">
        <x:v>48</x:v>
      </x:c>
      <x:c r="M124" t="n">
        <x:v>0</x:v>
      </x:c>
      <x:c r="N124" t="n">
        <x:f>J124*L124*(1-M124)</x:f>
        <x:v>48</x:v>
      </x:c>
      <x:c r="O124" t="n">
        <x:f>J124*K124</x:f>
        <x:v>19.75</x:v>
      </x:c>
      <x:c r="P124" t="n">
        <x:f>N124-O124</x:f>
        <x:v>28.25</x:v>
      </x:c>
      <x:c r="Q124" t="n">
        <x:f>IF(N124=0,0,P124/N124)</x:f>
        <x:v>0.5885416666666666</x:v>
      </x:c>
      <x:c r="R124" t="inlineStr">
        <x:is>
          <x:t xml:space="preserve">Gift Card</x:t>
        </x:is>
      </x:c>
      <x:c r="S124" t="inlineStr">
        <x:is>
          <x:t xml:space="preserve">Existing Client</x:t>
        </x:is>
      </x:c>
    </x:row>
    <x:row r="125">
      <x:c r="A125" t="inlineStr">
        <x:is>
          <x:t xml:space="preserve">TRX-0124</x:t>
        </x:is>
      </x:c>
      <x:c r="B125" t="n">
        <x:v>46124</x:v>
      </x:c>
      <x:c r="C125" t="inlineStr">
        <x:is>
          <x:t xml:space="preserve">CG-001</x:t>
        </x:is>
      </x:c>
      <x:c r="D125" t="inlineStr">
        <x:is>
          <x:t xml:space="preserve">Gabriel Samra Coral Gables</x:t>
        </x:is>
      </x:c>
      <x:c r="E125" t="inlineStr">
        <x:is>
          <x:t xml:space="preserve">Truss</x:t>
        </x:is>
      </x:c>
      <x:c r="F125" t="inlineStr">
        <x:is>
          <x:t xml:space="preserve">TRU-MSK-003</x:t>
        </x:is>
      </x:c>
      <x:c r="G125" t="inlineStr">
        <x:is>
          <x:t xml:space="preserve">Net Mask</x:t>
        </x:is>
      </x:c>
      <x:c r="H125" t="inlineStr">
        <x:is>
          <x:t xml:space="preserve">Treatment</x:t>
        </x:is>
      </x:c>
      <x:c r="I125" t="inlineStr">
        <x:is>
          <x:t xml:space="preserve">Melia</x:t>
        </x:is>
      </x:c>
      <x:c r="J125" t="n">
        <x:v>3</x:v>
      </x:c>
      <x:c r="K125" t="n">
        <x:v>20</x:v>
      </x:c>
      <x:c r="L125" t="n">
        <x:v>45</x:v>
      </x:c>
      <x:c r="M125" t="n">
        <x:v>0.05</x:v>
      </x:c>
      <x:c r="N125" t="n">
        <x:f>J125*L125*(1-M125)</x:f>
        <x:v>128.25</x:v>
      </x:c>
      <x:c r="O125" t="n">
        <x:f>J125*K125</x:f>
        <x:v>60</x:v>
      </x:c>
      <x:c r="P125" t="n">
        <x:f>N125-O125</x:f>
        <x:v>68.25</x:v>
      </x:c>
      <x:c r="Q125" t="n">
        <x:f>IF(N125=0,0,P125/N125)</x:f>
        <x:v>0.5321637426900585</x:v>
      </x:c>
      <x:c r="R125" t="inlineStr">
        <x:is>
          <x:t xml:space="preserve">Card</x:t>
        </x:is>
      </x:c>
      <x:c r="S125" t="inlineStr">
        <x:is>
          <x:t xml:space="preserve">Stylist Recommendation</x:t>
        </x:is>
      </x:c>
    </x:row>
    <x:row r="126">
      <x:c r="A126" t="inlineStr">
        <x:is>
          <x:t xml:space="preserve">TRX-0125</x:t>
        </x:is>
      </x:c>
      <x:c r="B126" t="n">
        <x:v>46160</x:v>
      </x:c>
      <x:c r="C126" t="inlineStr">
        <x:is>
          <x:t xml:space="preserve">DR-001</x:t>
        </x:is>
      </x:c>
      <x:c r="D126" t="inlineStr">
        <x:is>
          <x:t xml:space="preserve">Gabriel Samra Doral</x:t>
        </x:is>
      </x:c>
      <x:c r="E126" t="inlineStr">
        <x:is>
          <x:t xml:space="preserve">Truss</x:t>
        </x:is>
      </x:c>
      <x:c r="F126" t="inlineStr">
        <x:is>
          <x:t xml:space="preserve">TRU-SHP-001</x:t>
        </x:is>
      </x:c>
      <x:c r="G126" t="inlineStr">
        <x:is>
          <x:t xml:space="preserve">Infusion Shampoo</x:t>
        </x:is>
      </x:c>
      <x:c r="H126" t="inlineStr">
        <x:is>
          <x:t xml:space="preserve">Hair Care</x:t>
        </x:is>
      </x:c>
      <x:c r="I126" t="inlineStr">
        <x:is>
          <x:t xml:space="preserve">Isaac</x:t>
        </x:is>
      </x:c>
      <x:c r="J126" t="n">
        <x:v>1</x:v>
      </x:c>
      <x:c r="K126" t="n">
        <x:v>14.5</x:v>
      </x:c>
      <x:c r="L126" t="n">
        <x:v>32</x:v>
      </x:c>
      <x:c r="M126" t="n">
        <x:v>0</x:v>
      </x:c>
      <x:c r="N126" t="n">
        <x:f>J126*L126*(1-M126)</x:f>
        <x:v>32</x:v>
      </x:c>
      <x:c r="O126" t="n">
        <x:f>J126*K126</x:f>
        <x:v>14.5</x:v>
      </x:c>
      <x:c r="P126" t="n">
        <x:f>N126-O126</x:f>
        <x:v>17.5</x:v>
      </x:c>
      <x:c r="Q126" t="n">
        <x:f>IF(N126=0,0,P126/N126)</x:f>
        <x:v>0.546875</x:v>
      </x:c>
      <x:c r="R126" t="inlineStr">
        <x:is>
          <x:t xml:space="preserve">Gift Card</x:t>
        </x:is>
      </x:c>
      <x:c r="S126" t="inlineStr">
        <x:is>
          <x:t xml:space="preserve">Post-Service Retail</x:t>
        </x:is>
      </x:c>
    </x:row>
    <x:row r="127">
      <x:c r="A127" t="inlineStr">
        <x:is>
          <x:t xml:space="preserve">TRX-0126</x:t>
        </x:is>
      </x:c>
      <x:c r="B127" t="n">
        <x:v>46143</x:v>
      </x:c>
      <x:c r="C127" t="inlineStr">
        <x:is>
          <x:t xml:space="preserve">CG-001</x:t>
        </x:is>
      </x:c>
      <x:c r="D127" t="inlineStr">
        <x:is>
          <x:t xml:space="preserve">Gabriel Samra Coral Gables</x:t>
        </x:is>
      </x:c>
      <x:c r="E127" t="inlineStr">
        <x:is>
          <x:t xml:space="preserve">Truss</x:t>
        </x:is>
      </x:c>
      <x:c r="F127" t="inlineStr">
        <x:is>
          <x:t xml:space="preserve">TRU-CND-002</x:t>
        </x:is>
      </x:c>
      <x:c r="G127" t="inlineStr">
        <x:is>
          <x:t xml:space="preserve">Infusion Conditioner</x:t>
        </x:is>
      </x:c>
      <x:c r="H127" t="inlineStr">
        <x:is>
          <x:t xml:space="preserve">Hair Care</x:t>
        </x:is>
      </x:c>
      <x:c r="I127" t="inlineStr">
        <x:is>
          <x:t xml:space="preserve">Melia</x:t>
        </x:is>
      </x:c>
      <x:c r="J127" t="n">
        <x:v>1</x:v>
      </x:c>
      <x:c r="K127" t="n">
        <x:v>15.25</x:v>
      </x:c>
      <x:c r="L127" t="n">
        <x:v>34</x:v>
      </x:c>
      <x:c r="M127" t="n">
        <x:v>0.1</x:v>
      </x:c>
      <x:c r="N127" t="n">
        <x:f>J127*L127*(1-M127)</x:f>
        <x:v>30.6</x:v>
      </x:c>
      <x:c r="O127" t="n">
        <x:f>J127*K127</x:f>
        <x:v>15.25</x:v>
      </x:c>
      <x:c r="P127" t="n">
        <x:f>N127-O127</x:f>
        <x:v>15.350000000000001</x:v>
      </x:c>
      <x:c r="Q127" t="n">
        <x:f>IF(N127=0,0,P127/N127)</x:f>
        <x:v>0.5016339869281046</x:v>
      </x:c>
      <x:c r="R127" t="inlineStr">
        <x:is>
          <x:t xml:space="preserve">Cash</x:t>
        </x:is>
      </x:c>
      <x:c r="S127" t="inlineStr">
        <x:is>
          <x:t xml:space="preserve">Existing Client</x:t>
        </x:is>
      </x:c>
    </x:row>
    <x:row r="128">
      <x:c r="A128" t="inlineStr">
        <x:is>
          <x:t xml:space="preserve">TRX-0127</x:t>
        </x:is>
      </x:c>
      <x:c r="B128" t="n">
        <x:v>46127</x:v>
      </x:c>
      <x:c r="C128" t="inlineStr">
        <x:is>
          <x:t xml:space="preserve">DR-001</x:t>
        </x:is>
      </x:c>
      <x:c r="D128" t="inlineStr">
        <x:is>
          <x:t xml:space="preserve">Gabriel Samra Doral</x:t>
        </x:is>
      </x:c>
      <x:c r="E128" t="inlineStr">
        <x:is>
          <x:t xml:space="preserve">Sutra</x:t>
        </x:is>
      </x:c>
      <x:c r="F128" t="inlineStr">
        <x:is>
          <x:t xml:space="preserve">SUT-BLO-003</x:t>
        </x:is>
      </x:c>
      <x:c r="G128" t="inlineStr">
        <x:is>
          <x:t xml:space="preserve">Blowout Brush</x:t>
        </x:is>
      </x:c>
      <x:c r="H128" t="inlineStr">
        <x:is>
          <x:t xml:space="preserve">Hot Tools</x:t>
        </x:is>
      </x:c>
      <x:c r="I128" t="inlineStr">
        <x:is>
          <x:t xml:space="preserve">Melia</x:t>
        </x:is>
      </x:c>
      <x:c r="J128" t="n">
        <x:v>1</x:v>
      </x:c>
      <x:c r="K128" t="n">
        <x:v>48</x:v>
      </x:c>
      <x:c r="L128" t="n">
        <x:v>119</x:v>
      </x:c>
      <x:c r="M128" t="n">
        <x:v>0</x:v>
      </x:c>
      <x:c r="N128" t="n">
        <x:f>J128*L128*(1-M128)</x:f>
        <x:v>119</x:v>
      </x:c>
      <x:c r="O128" t="n">
        <x:f>J128*K128</x:f>
        <x:v>48</x:v>
      </x:c>
      <x:c r="P128" t="n">
        <x:f>N128-O128</x:f>
        <x:v>71</x:v>
      </x:c>
      <x:c r="Q128" t="n">
        <x:f>IF(N128=0,0,P128/N128)</x:f>
        <x:v>0.5966386554621849</x:v>
      </x:c>
      <x:c r="R128" t="inlineStr">
        <x:is>
          <x:t xml:space="preserve">Apple Pay</x:t>
        </x:is>
      </x:c>
      <x:c r="S128" t="inlineStr">
        <x:is>
          <x:t xml:space="preserve">Stylist Recommendation</x:t>
        </x:is>
      </x:c>
    </x:row>
    <x:row r="129">
      <x:c r="A129" t="inlineStr">
        <x:is>
          <x:t xml:space="preserve">TRX-0128</x:t>
        </x:is>
      </x:c>
      <x:c r="B129" t="n">
        <x:v>46083</x:v>
      </x:c>
      <x:c r="C129" t="inlineStr">
        <x:is>
          <x:t xml:space="preserve">CG-001</x:t>
        </x:is>
      </x:c>
      <x:c r="D129" t="inlineStr">
        <x:is>
          <x:t xml:space="preserve">Gabriel Samra Coral Gables</x:t>
        </x:is>
      </x:c>
      <x:c r="E129" t="inlineStr">
        <x:is>
          <x:t xml:space="preserve">Truss</x:t>
        </x:is>
      </x:c>
      <x:c r="F129" t="inlineStr">
        <x:is>
          <x:t xml:space="preserve">TRU-CND-002</x:t>
        </x:is>
      </x:c>
      <x:c r="G129" t="inlineStr">
        <x:is>
          <x:t xml:space="preserve">Infusion Conditioner</x:t>
        </x:is>
      </x:c>
      <x:c r="H129" t="inlineStr">
        <x:is>
          <x:t xml:space="preserve">Hair Care</x:t>
        </x:is>
      </x:c>
      <x:c r="I129" t="inlineStr">
        <x:is>
          <x:t xml:space="preserve">Magaly</x:t>
        </x:is>
      </x:c>
      <x:c r="J129" t="n">
        <x:v>2</x:v>
      </x:c>
      <x:c r="K129" t="n">
        <x:v>15.25</x:v>
      </x:c>
      <x:c r="L129" t="n">
        <x:v>34</x:v>
      </x:c>
      <x:c r="M129" t="n">
        <x:v>0</x:v>
      </x:c>
      <x:c r="N129" t="n">
        <x:f>J129*L129*(1-M129)</x:f>
        <x:v>68</x:v>
      </x:c>
      <x:c r="O129" t="n">
        <x:f>J129*K129</x:f>
        <x:v>30.5</x:v>
      </x:c>
      <x:c r="P129" t="n">
        <x:f>N129-O129</x:f>
        <x:v>37.5</x:v>
      </x:c>
      <x:c r="Q129" t="n">
        <x:f>IF(N129=0,0,P129/N129)</x:f>
        <x:v>0.5514705882352942</x:v>
      </x:c>
      <x:c r="R129" t="inlineStr">
        <x:is>
          <x:t xml:space="preserve">Apple Pay</x:t>
        </x:is>
      </x:c>
      <x:c r="S129" t="inlineStr">
        <x:is>
          <x:t xml:space="preserve">Stylist Recommendation</x:t>
        </x:is>
      </x:c>
    </x:row>
    <x:row r="130">
      <x:c r="A130" t="inlineStr">
        <x:is>
          <x:t xml:space="preserve">TRX-0129</x:t>
        </x:is>
      </x:c>
      <x:c r="B130" t="n">
        <x:v>46129</x:v>
      </x:c>
      <x:c r="C130" t="inlineStr">
        <x:is>
          <x:t xml:space="preserve">CG-001</x:t>
        </x:is>
      </x:c>
      <x:c r="D130" t="inlineStr">
        <x:is>
          <x:t xml:space="preserve">Gabriel Samra Coral Gables</x:t>
        </x:is>
      </x:c>
      <x:c r="E130" t="inlineStr">
        <x:is>
          <x:t xml:space="preserve">Sutra</x:t>
        </x:is>
      </x:c>
      <x:c r="F130" t="inlineStr">
        <x:is>
          <x:t xml:space="preserve">SUT-HSP-005</x:t>
        </x:is>
      </x:c>
      <x:c r="G130" t="inlineStr">
        <x:is>
          <x:t xml:space="preserve">Heat Spray</x:t>
        </x:is>
      </x:c>
      <x:c r="H130" t="inlineStr">
        <x:is>
          <x:t xml:space="preserve">Styling</x:t>
        </x:is>
      </x:c>
      <x:c r="I130" t="inlineStr">
        <x:is>
          <x:t xml:space="preserve">Melia</x:t>
        </x:is>
      </x:c>
      <x:c r="J130" t="n">
        <x:v>1</x:v>
      </x:c>
      <x:c r="K130" t="n">
        <x:v>9.5</x:v>
      </x:c>
      <x:c r="L130" t="n">
        <x:v>24</x:v>
      </x:c>
      <x:c r="M130" t="n">
        <x:v>0.05</x:v>
      </x:c>
      <x:c r="N130" t="n">
        <x:f>J130*L130*(1-M130)</x:f>
        <x:v>22.799999999999997</x:v>
      </x:c>
      <x:c r="O130" t="n">
        <x:f>J130*K130</x:f>
        <x:v>9.5</x:v>
      </x:c>
      <x:c r="P130" t="n">
        <x:f>N130-O130</x:f>
        <x:v>13.299999999999997</x:v>
      </x:c>
      <x:c r="Q130" t="n">
        <x:f>IF(N130=0,0,P130/N130)</x:f>
        <x:v>0.5833333333333333</x:v>
      </x:c>
      <x:c r="R130" t="inlineStr">
        <x:is>
          <x:t xml:space="preserve">Apple Pay</x:t>
        </x:is>
      </x:c>
      <x:c r="S130" t="inlineStr">
        <x:is>
          <x:t xml:space="preserve">Existing Client</x:t>
        </x:is>
      </x:c>
    </x:row>
    <x:row r="131">
      <x:c r="A131" t="inlineStr">
        <x:is>
          <x:t xml:space="preserve">TRX-0130</x:t>
        </x:is>
      </x:c>
      <x:c r="B131" t="n">
        <x:v>46136</x:v>
      </x:c>
      <x:c r="C131" t="inlineStr">
        <x:is>
          <x:t xml:space="preserve">CG-001</x:t>
        </x:is>
      </x:c>
      <x:c r="D131" t="inlineStr">
        <x:is>
          <x:t xml:space="preserve">Gabriel Samra Coral Gables</x:t>
        </x:is>
      </x:c>
      <x:c r="E131" t="inlineStr">
        <x:is>
          <x:t xml:space="preserve">Sutra</x:t>
        </x:is>
      </x:c>
      <x:c r="F131" t="inlineStr">
        <x:is>
          <x:t xml:space="preserve">SUT-FIR-001</x:t>
        </x:is>
      </x:c>
      <x:c r="G131" t="inlineStr">
        <x:is>
          <x:t xml:space="preserve">Mini Flat Iron</x:t>
        </x:is>
      </x:c>
      <x:c r="H131" t="inlineStr">
        <x:is>
          <x:t xml:space="preserve">Hot Tools</x:t>
        </x:is>
      </x:c>
      <x:c r="I131" t="inlineStr">
        <x:is>
          <x:t xml:space="preserve">Melia</x:t>
        </x:is>
      </x:c>
      <x:c r="J131" t="n">
        <x:v>1</x:v>
      </x:c>
      <x:c r="K131" t="n">
        <x:v>38</x:v>
      </x:c>
      <x:c r="L131" t="n">
        <x:v>89</x:v>
      </x:c>
      <x:c r="M131" t="n">
        <x:v>0</x:v>
      </x:c>
      <x:c r="N131" t="n">
        <x:f>J131*L131*(1-M131)</x:f>
        <x:v>89</x:v>
      </x:c>
      <x:c r="O131" t="n">
        <x:f>J131*K131</x:f>
        <x:v>38</x:v>
      </x:c>
      <x:c r="P131" t="n">
        <x:f>N131-O131</x:f>
        <x:v>51</x:v>
      </x:c>
      <x:c r="Q131" t="n">
        <x:f>IF(N131=0,0,P131/N131)</x:f>
        <x:v>0.5730337078651685</x:v>
      </x:c>
      <x:c r="R131" t="inlineStr">
        <x:is>
          <x:t xml:space="preserve">Card</x:t>
        </x:is>
      </x:c>
      <x:c r="S131" t="inlineStr">
        <x:is>
          <x:t xml:space="preserve">Post-Service Retail</x:t>
        </x:is>
      </x:c>
    </x:row>
    <x:row r="132">
      <x:c r="A132" t="inlineStr">
        <x:is>
          <x:t xml:space="preserve">TRX-0131</x:t>
        </x:is>
      </x:c>
      <x:c r="B132" t="n">
        <x:v>46038</x:v>
      </x:c>
      <x:c r="C132" t="inlineStr">
        <x:is>
          <x:t xml:space="preserve">DR-001</x:t>
        </x:is>
      </x:c>
      <x:c r="D132" t="inlineStr">
        <x:is>
          <x:t xml:space="preserve">Gabriel Samra Doral</x:t>
        </x:is>
      </x:c>
      <x:c r="E132" t="inlineStr">
        <x:is>
          <x:t xml:space="preserve">Sutra</x:t>
        </x:is>
      </x:c>
      <x:c r="F132" t="inlineStr">
        <x:is>
          <x:t xml:space="preserve">SUT-DRY-004</x:t>
        </x:is>
      </x:c>
      <x:c r="G132" t="inlineStr">
        <x:is>
          <x:t xml:space="preserve">Professional Hair Dryer</x:t>
        </x:is>
      </x:c>
      <x:c r="H132" t="inlineStr">
        <x:is>
          <x:t xml:space="preserve">Hot Tools</x:t>
        </x:is>
      </x:c>
      <x:c r="I132" t="inlineStr">
        <x:is>
          <x:t xml:space="preserve">Magaly</x:t>
        </x:is>
      </x:c>
      <x:c r="J132" t="n">
        <x:v>1</x:v>
      </x:c>
      <x:c r="K132" t="n">
        <x:v>62</x:v>
      </x:c>
      <x:c r="L132" t="n">
        <x:v>149</x:v>
      </x:c>
      <x:c r="M132" t="n">
        <x:v>0</x:v>
      </x:c>
      <x:c r="N132" t="n">
        <x:f>J132*L132*(1-M132)</x:f>
        <x:v>149</x:v>
      </x:c>
      <x:c r="O132" t="n">
        <x:f>J132*K132</x:f>
        <x:v>62</x:v>
      </x:c>
      <x:c r="P132" t="n">
        <x:f>N132-O132</x:f>
        <x:v>87</x:v>
      </x:c>
      <x:c r="Q132" t="n">
        <x:f>IF(N132=0,0,P132/N132)</x:f>
        <x:v>0.5838926174496645</x:v>
      </x:c>
      <x:c r="R132" t="inlineStr">
        <x:is>
          <x:t xml:space="preserve">Gift Card</x:t>
        </x:is>
      </x:c>
      <x:c r="S132" t="inlineStr">
        <x:is>
          <x:t xml:space="preserve">Existing Client</x:t>
        </x:is>
      </x:c>
    </x:row>
    <x:row r="133">
      <x:c r="A133" t="inlineStr">
        <x:is>
          <x:t xml:space="preserve">TRX-0132</x:t>
        </x:is>
      </x:c>
      <x:c r="B133" t="n">
        <x:v>46035</x:v>
      </x:c>
      <x:c r="C133" t="inlineStr">
        <x:is>
          <x:t xml:space="preserve">CG-001</x:t>
        </x:is>
      </x:c>
      <x:c r="D133" t="inlineStr">
        <x:is>
          <x:t xml:space="preserve">Gabriel Samra Coral Gables</x:t>
        </x:is>
      </x:c>
      <x:c r="E133" t="inlineStr">
        <x:is>
          <x:t xml:space="preserve">Truss</x:t>
        </x:is>
      </x:c>
      <x:c r="F133" t="inlineStr">
        <x:is>
          <x:t xml:space="preserve">TRU-OIL-004</x:t>
        </x:is>
      </x:c>
      <x:c r="G133" t="inlineStr">
        <x:is>
          <x:t xml:space="preserve">Deluxe Prime Oil</x:t>
        </x:is>
      </x:c>
      <x:c r="H133" t="inlineStr">
        <x:is>
          <x:t xml:space="preserve">Finishing</x:t>
        </x:is>
      </x:c>
      <x:c r="I133" t="inlineStr">
        <x:is>
          <x:t xml:space="preserve">Isaac</x:t>
        </x:is>
      </x:c>
      <x:c r="J133" t="n">
        <x:v>2</x:v>
      </x:c>
      <x:c r="K133" t="n">
        <x:v>18</x:v>
      </x:c>
      <x:c r="L133" t="n">
        <x:v>42</x:v>
      </x:c>
      <x:c r="M133" t="n">
        <x:v>0</x:v>
      </x:c>
      <x:c r="N133" t="n">
        <x:f>J133*L133*(1-M133)</x:f>
        <x:v>84</x:v>
      </x:c>
      <x:c r="O133" t="n">
        <x:f>J133*K133</x:f>
        <x:v>36</x:v>
      </x:c>
      <x:c r="P133" t="n">
        <x:f>N133-O133</x:f>
        <x:v>48</x:v>
      </x:c>
      <x:c r="Q133" t="n">
        <x:f>IF(N133=0,0,P133/N133)</x:f>
        <x:v>0.5714285714285714</x:v>
      </x:c>
      <x:c r="R133" t="inlineStr">
        <x:is>
          <x:t xml:space="preserve">Cash</x:t>
        </x:is>
      </x:c>
      <x:c r="S133" t="inlineStr">
        <x:is>
          <x:t xml:space="preserve">Existing Client</x:t>
        </x:is>
      </x:c>
    </x:row>
    <x:row r="134">
      <x:c r="A134" t="inlineStr">
        <x:is>
          <x:t xml:space="preserve">TRX-0133</x:t>
        </x:is>
      </x:c>
      <x:c r="B134" t="n">
        <x:v>46078</x:v>
      </x:c>
      <x:c r="C134" t="inlineStr">
        <x:is>
          <x:t xml:space="preserve">CG-001</x:t>
        </x:is>
      </x:c>
      <x:c r="D134" t="inlineStr">
        <x:is>
          <x:t xml:space="preserve">Gabriel Samra Coral Gables</x:t>
        </x:is>
      </x:c>
      <x:c r="E134" t="inlineStr">
        <x:is>
          <x:t xml:space="preserve">Sutra</x:t>
        </x:is>
      </x:c>
      <x:c r="F134" t="inlineStr">
        <x:is>
          <x:t xml:space="preserve">SUT-DRY-004</x:t>
        </x:is>
      </x:c>
      <x:c r="G134" t="inlineStr">
        <x:is>
          <x:t xml:space="preserve">Professional Hair Dryer</x:t>
        </x:is>
      </x:c>
      <x:c r="H134" t="inlineStr">
        <x:is>
          <x:t xml:space="preserve">Hot Tools</x:t>
        </x:is>
      </x:c>
      <x:c r="I134" t="inlineStr">
        <x:is>
          <x:t xml:space="preserve">Isaac</x:t>
        </x:is>
      </x:c>
      <x:c r="J134" t="n">
        <x:v>2</x:v>
      </x:c>
      <x:c r="K134" t="n">
        <x:v>62</x:v>
      </x:c>
      <x:c r="L134" t="n">
        <x:v>149</x:v>
      </x:c>
      <x:c r="M134" t="n">
        <x:v>0</x:v>
      </x:c>
      <x:c r="N134" t="n">
        <x:f>J134*L134*(1-M134)</x:f>
        <x:v>298</x:v>
      </x:c>
      <x:c r="O134" t="n">
        <x:f>J134*K134</x:f>
        <x:v>124</x:v>
      </x:c>
      <x:c r="P134" t="n">
        <x:f>N134-O134</x:f>
        <x:v>174</x:v>
      </x:c>
      <x:c r="Q134" t="n">
        <x:f>IF(N134=0,0,P134/N134)</x:f>
        <x:v>0.5838926174496645</x:v>
      </x:c>
      <x:c r="R134" t="inlineStr">
        <x:is>
          <x:t xml:space="preserve">Card</x:t>
        </x:is>
      </x:c>
      <x:c r="S134" t="inlineStr">
        <x:is>
          <x:t xml:space="preserve">Post-Service Retail</x:t>
        </x:is>
      </x:c>
    </x:row>
    <x:row r="135">
      <x:c r="A135" t="inlineStr">
        <x:is>
          <x:t xml:space="preserve">TRX-0134</x:t>
        </x:is>
      </x:c>
      <x:c r="B135" t="n">
        <x:v>46161</x:v>
      </x:c>
      <x:c r="C135" t="inlineStr">
        <x:is>
          <x:t xml:space="preserve">CG-001</x:t>
        </x:is>
      </x:c>
      <x:c r="D135" t="inlineStr">
        <x:is>
          <x:t xml:space="preserve">Gabriel Samra Coral Gables</x:t>
        </x:is>
      </x:c>
      <x:c r="E135" t="inlineStr">
        <x:is>
          <x:t xml:space="preserve">Truss</x:t>
        </x:is>
      </x:c>
      <x:c r="F135" t="inlineStr">
        <x:is>
          <x:t xml:space="preserve">TRU-MSK-003</x:t>
        </x:is>
      </x:c>
      <x:c r="G135" t="inlineStr">
        <x:is>
          <x:t xml:space="preserve">Net Mask</x:t>
        </x:is>
      </x:c>
      <x:c r="H135" t="inlineStr">
        <x:is>
          <x:t xml:space="preserve">Treatment</x:t>
        </x:is>
      </x:c>
      <x:c r="I135" t="inlineStr">
        <x:is>
          <x:t xml:space="preserve">Melia</x:t>
        </x:is>
      </x:c>
      <x:c r="J135" t="n">
        <x:v>1</x:v>
      </x:c>
      <x:c r="K135" t="n">
        <x:v>20</x:v>
      </x:c>
      <x:c r="L135" t="n">
        <x:v>45</x:v>
      </x:c>
      <x:c r="M135" t="n">
        <x:v>0</x:v>
      </x:c>
      <x:c r="N135" t="n">
        <x:f>J135*L135*(1-M135)</x:f>
        <x:v>45</x:v>
      </x:c>
      <x:c r="O135" t="n">
        <x:f>J135*K135</x:f>
        <x:v>20</x:v>
      </x:c>
      <x:c r="P135" t="n">
        <x:f>N135-O135</x:f>
        <x:v>25</x:v>
      </x:c>
      <x:c r="Q135" t="n">
        <x:f>IF(N135=0,0,P135/N135)</x:f>
        <x:v>0.5555555555555556</x:v>
      </x:c>
      <x:c r="R135" t="inlineStr">
        <x:is>
          <x:t xml:space="preserve">Cash</x:t>
        </x:is>
      </x:c>
      <x:c r="S135" t="inlineStr">
        <x:is>
          <x:t xml:space="preserve">Existing Client</x:t>
        </x:is>
      </x:c>
    </x:row>
    <x:row r="136">
      <x:c r="A136" t="inlineStr">
        <x:is>
          <x:t xml:space="preserve">TRX-0135</x:t>
        </x:is>
      </x:c>
      <x:c r="B136" t="n">
        <x:v>46105</x:v>
      </x:c>
      <x:c r="C136" t="inlineStr">
        <x:is>
          <x:t xml:space="preserve">CG-001</x:t>
        </x:is>
      </x:c>
      <x:c r="D136" t="inlineStr">
        <x:is>
          <x:t xml:space="preserve">Gabriel Samra Coral Gables</x:t>
        </x:is>
      </x:c>
      <x:c r="E136" t="inlineStr">
        <x:is>
          <x:t xml:space="preserve">Sutra</x:t>
        </x:is>
      </x:c>
      <x:c r="F136" t="inlineStr">
        <x:is>
          <x:t xml:space="preserve">SUT-FIR-001</x:t>
        </x:is>
      </x:c>
      <x:c r="G136" t="inlineStr">
        <x:is>
          <x:t xml:space="preserve">Mini Flat Iron</x:t>
        </x:is>
      </x:c>
      <x:c r="H136" t="inlineStr">
        <x:is>
          <x:t xml:space="preserve">Hot Tools</x:t>
        </x:is>
      </x:c>
      <x:c r="I136" t="inlineStr">
        <x:is>
          <x:t xml:space="preserve">Isaac</x:t>
        </x:is>
      </x:c>
      <x:c r="J136" t="n">
        <x:v>1</x:v>
      </x:c>
      <x:c r="K136" t="n">
        <x:v>38</x:v>
      </x:c>
      <x:c r="L136" t="n">
        <x:v>89</x:v>
      </x:c>
      <x:c r="M136" t="n">
        <x:v>0</x:v>
      </x:c>
      <x:c r="N136" t="n">
        <x:f>J136*L136*(1-M136)</x:f>
        <x:v>89</x:v>
      </x:c>
      <x:c r="O136" t="n">
        <x:f>J136*K136</x:f>
        <x:v>38</x:v>
      </x:c>
      <x:c r="P136" t="n">
        <x:f>N136-O136</x:f>
        <x:v>51</x:v>
      </x:c>
      <x:c r="Q136" t="n">
        <x:f>IF(N136=0,0,P136/N136)</x:f>
        <x:v>0.5730337078651685</x:v>
      </x:c>
      <x:c r="R136" t="inlineStr">
        <x:is>
          <x:t xml:space="preserve">Gift Card</x:t>
        </x:is>
      </x:c>
      <x:c r="S136" t="inlineStr">
        <x:is>
          <x:t xml:space="preserve">Existing Client</x:t>
        </x:is>
      </x:c>
    </x:row>
    <x:row r="137">
      <x:c r="A137" t="inlineStr">
        <x:is>
          <x:t xml:space="preserve">TRX-0136</x:t>
        </x:is>
      </x:c>
      <x:c r="B137" t="n">
        <x:v>46137</x:v>
      </x:c>
      <x:c r="C137" t="inlineStr">
        <x:is>
          <x:t xml:space="preserve">DR-001</x:t>
        </x:is>
      </x:c>
      <x:c r="D137" t="inlineStr">
        <x:is>
          <x:t xml:space="preserve">Gabriel Samra Doral</x:t>
        </x:is>
      </x:c>
      <x:c r="E137" t="inlineStr">
        <x:is>
          <x:t xml:space="preserve">Truss</x:t>
        </x:is>
      </x:c>
      <x:c r="F137" t="inlineStr">
        <x:is>
          <x:t xml:space="preserve">TRU-CND-002</x:t>
        </x:is>
      </x:c>
      <x:c r="G137" t="inlineStr">
        <x:is>
          <x:t xml:space="preserve">Infusion Conditioner</x:t>
        </x:is>
      </x:c>
      <x:c r="H137" t="inlineStr">
        <x:is>
          <x:t xml:space="preserve">Hair Care</x:t>
        </x:is>
      </x:c>
      <x:c r="I137" t="inlineStr">
        <x:is>
          <x:t xml:space="preserve">Magaly</x:t>
        </x:is>
      </x:c>
      <x:c r="J137" t="n">
        <x:v>2</x:v>
      </x:c>
      <x:c r="K137" t="n">
        <x:v>15.25</x:v>
      </x:c>
      <x:c r="L137" t="n">
        <x:v>34</x:v>
      </x:c>
      <x:c r="M137" t="n">
        <x:v>0</x:v>
      </x:c>
      <x:c r="N137" t="n">
        <x:f>J137*L137*(1-M137)</x:f>
        <x:v>68</x:v>
      </x:c>
      <x:c r="O137" t="n">
        <x:f>J137*K137</x:f>
        <x:v>30.5</x:v>
      </x:c>
      <x:c r="P137" t="n">
        <x:f>N137-O137</x:f>
        <x:v>37.5</x:v>
      </x:c>
      <x:c r="Q137" t="n">
        <x:f>IF(N137=0,0,P137/N137)</x:f>
        <x:v>0.5514705882352942</x:v>
      </x:c>
      <x:c r="R137" t="inlineStr">
        <x:is>
          <x:t xml:space="preserve">Gift Card</x:t>
        </x:is>
      </x:c>
      <x:c r="S137" t="inlineStr">
        <x:is>
          <x:t xml:space="preserve">Walk-in Client</x:t>
        </x:is>
      </x:c>
    </x:row>
    <x:row r="138">
      <x:c r="A138" t="inlineStr">
        <x:is>
          <x:t xml:space="preserve">TRX-0137</x:t>
        </x:is>
      </x:c>
      <x:c r="B138" t="n">
        <x:v>46156</x:v>
      </x:c>
      <x:c r="C138" t="inlineStr">
        <x:is>
          <x:t xml:space="preserve">CG-001</x:t>
        </x:is>
      </x:c>
      <x:c r="D138" t="inlineStr">
        <x:is>
          <x:t xml:space="preserve">Gabriel Samra Coral Gables</x:t>
        </x:is>
      </x:c>
      <x:c r="E138" t="inlineStr">
        <x:is>
          <x:t xml:space="preserve">Sutra</x:t>
        </x:is>
      </x:c>
      <x:c r="F138" t="inlineStr">
        <x:is>
          <x:t xml:space="preserve">SUT-HSP-005</x:t>
        </x:is>
      </x:c>
      <x:c r="G138" t="inlineStr">
        <x:is>
          <x:t xml:space="preserve">Heat Spray</x:t>
        </x:is>
      </x:c>
      <x:c r="H138" t="inlineStr">
        <x:is>
          <x:t xml:space="preserve">Styling</x:t>
        </x:is>
      </x:c>
      <x:c r="I138" t="inlineStr">
        <x:is>
          <x:t xml:space="preserve">Melia</x:t>
        </x:is>
      </x:c>
      <x:c r="J138" t="n">
        <x:v>1</x:v>
      </x:c>
      <x:c r="K138" t="n">
        <x:v>9.5</x:v>
      </x:c>
      <x:c r="L138" t="n">
        <x:v>24</x:v>
      </x:c>
      <x:c r="M138" t="n">
        <x:v>0</x:v>
      </x:c>
      <x:c r="N138" t="n">
        <x:f>J138*L138*(1-M138)</x:f>
        <x:v>24</x:v>
      </x:c>
      <x:c r="O138" t="n">
        <x:f>J138*K138</x:f>
        <x:v>9.5</x:v>
      </x:c>
      <x:c r="P138" t="n">
        <x:f>N138-O138</x:f>
        <x:v>14.5</x:v>
      </x:c>
      <x:c r="Q138" t="n">
        <x:f>IF(N138=0,0,P138/N138)</x:f>
        <x:v>0.6041666666666666</x:v>
      </x:c>
      <x:c r="R138" t="inlineStr">
        <x:is>
          <x:t xml:space="preserve">Card</x:t>
        </x:is>
      </x:c>
      <x:c r="S138" t="inlineStr">
        <x:is>
          <x:t xml:space="preserve">Stylist Recommendation</x:t>
        </x:is>
      </x:c>
    </x:row>
    <x:row r="139">
      <x:c r="A139" t="inlineStr">
        <x:is>
          <x:t xml:space="preserve">TRX-0138</x:t>
        </x:is>
      </x:c>
      <x:c r="B139" t="n">
        <x:v>46050</x:v>
      </x:c>
      <x:c r="C139" t="inlineStr">
        <x:is>
          <x:t xml:space="preserve">DR-001</x:t>
        </x:is>
      </x:c>
      <x:c r="D139" t="inlineStr">
        <x:is>
          <x:t xml:space="preserve">Gabriel Samra Doral</x:t>
        </x:is>
      </x:c>
      <x:c r="E139" t="inlineStr">
        <x:is>
          <x:t xml:space="preserve">Sutra</x:t>
        </x:is>
      </x:c>
      <x:c r="F139" t="inlineStr">
        <x:is>
          <x:t xml:space="preserve">SUT-CUR-002</x:t>
        </x:is>
      </x:c>
      <x:c r="G139" t="inlineStr">
        <x:is>
          <x:t xml:space="preserve">Clipless Curling Iron</x:t>
        </x:is>
      </x:c>
      <x:c r="H139" t="inlineStr">
        <x:is>
          <x:t xml:space="preserve">Hot Tools</x:t>
        </x:is>
      </x:c>
      <x:c r="I139" t="inlineStr">
        <x:is>
          <x:t xml:space="preserve">Magaly</x:t>
        </x:is>
      </x:c>
      <x:c r="J139" t="n">
        <x:v>1</x:v>
      </x:c>
      <x:c r="K139" t="n">
        <x:v>42</x:v>
      </x:c>
      <x:c r="L139" t="n">
        <x:v>99</x:v>
      </x:c>
      <x:c r="M139" t="n">
        <x:v>0.1</x:v>
      </x:c>
      <x:c r="N139" t="n">
        <x:f>J139*L139*(1-M139)</x:f>
        <x:v>89.10000000000001</x:v>
      </x:c>
      <x:c r="O139" t="n">
        <x:f>J139*K139</x:f>
        <x:v>42</x:v>
      </x:c>
      <x:c r="P139" t="n">
        <x:f>N139-O139</x:f>
        <x:v>47.10000000000001</x:v>
      </x:c>
      <x:c r="Q139" t="n">
        <x:f>IF(N139=0,0,P139/N139)</x:f>
        <x:v>0.5286195286195287</x:v>
      </x:c>
      <x:c r="R139" t="inlineStr">
        <x:is>
          <x:t xml:space="preserve">Card</x:t>
        </x:is>
      </x:c>
      <x:c r="S139" t="inlineStr">
        <x:is>
          <x:t xml:space="preserve">Post-Service Retail</x:t>
        </x:is>
      </x:c>
    </x:row>
    <x:row r="140">
      <x:c r="A140" t="inlineStr">
        <x:is>
          <x:t xml:space="preserve">TRX-0139</x:t>
        </x:is>
      </x:c>
      <x:c r="B140" t="n">
        <x:v>46039</x:v>
      </x:c>
      <x:c r="C140" t="inlineStr">
        <x:is>
          <x:t xml:space="preserve">CG-001</x:t>
        </x:is>
      </x:c>
      <x:c r="D140" t="inlineStr">
        <x:is>
          <x:t xml:space="preserve">Gabriel Samra Coral Gables</x:t>
        </x:is>
      </x:c>
      <x:c r="E140" t="inlineStr">
        <x:is>
          <x:t xml:space="preserve">Sutra</x:t>
        </x:is>
      </x:c>
      <x:c r="F140" t="inlineStr">
        <x:is>
          <x:t xml:space="preserve">SUT-HSP-005</x:t>
        </x:is>
      </x:c>
      <x:c r="G140" t="inlineStr">
        <x:is>
          <x:t xml:space="preserve">Heat Spray</x:t>
        </x:is>
      </x:c>
      <x:c r="H140" t="inlineStr">
        <x:is>
          <x:t xml:space="preserve">Styling</x:t>
        </x:is>
      </x:c>
      <x:c r="I140" t="inlineStr">
        <x:is>
          <x:t xml:space="preserve">Melia</x:t>
        </x:is>
      </x:c>
      <x:c r="J140" t="n">
        <x:v>1</x:v>
      </x:c>
      <x:c r="K140" t="n">
        <x:v>9.5</x:v>
      </x:c>
      <x:c r="L140" t="n">
        <x:v>24</x:v>
      </x:c>
      <x:c r="M140" t="n">
        <x:v>0</x:v>
      </x:c>
      <x:c r="N140" t="n">
        <x:f>J140*L140*(1-M140)</x:f>
        <x:v>24</x:v>
      </x:c>
      <x:c r="O140" t="n">
        <x:f>J140*K140</x:f>
        <x:v>9.5</x:v>
      </x:c>
      <x:c r="P140" t="n">
        <x:f>N140-O140</x:f>
        <x:v>14.5</x:v>
      </x:c>
      <x:c r="Q140" t="n">
        <x:f>IF(N140=0,0,P140/N140)</x:f>
        <x:v>0.6041666666666666</x:v>
      </x:c>
      <x:c r="R140" t="inlineStr">
        <x:is>
          <x:t xml:space="preserve">Gift Card</x:t>
        </x:is>
      </x:c>
      <x:c r="S140" t="inlineStr">
        <x:is>
          <x:t xml:space="preserve">Post-Service Retail</x:t>
        </x:is>
      </x:c>
    </x:row>
    <x:row r="141">
      <x:c r="A141" t="inlineStr">
        <x:is>
          <x:t xml:space="preserve">TRX-0140</x:t>
        </x:is>
      </x:c>
      <x:c r="B141" t="n">
        <x:v>46048</x:v>
      </x:c>
      <x:c r="C141" t="inlineStr">
        <x:is>
          <x:t xml:space="preserve">DR-001</x:t>
        </x:is>
      </x:c>
      <x:c r="D141" t="inlineStr">
        <x:is>
          <x:t xml:space="preserve">Gabriel Samra Doral</x:t>
        </x:is>
      </x:c>
      <x:c r="E141" t="inlineStr">
        <x:is>
          <x:t xml:space="preserve">Sutra</x:t>
        </x:is>
      </x:c>
      <x:c r="F141" t="inlineStr">
        <x:is>
          <x:t xml:space="preserve">SUT-BLO-003</x:t>
        </x:is>
      </x:c>
      <x:c r="G141" t="inlineStr">
        <x:is>
          <x:t xml:space="preserve">Blowout Brush</x:t>
        </x:is>
      </x:c>
      <x:c r="H141" t="inlineStr">
        <x:is>
          <x:t xml:space="preserve">Hot Tools</x:t>
        </x:is>
      </x:c>
      <x:c r="I141" t="inlineStr">
        <x:is>
          <x:t xml:space="preserve">Isaac</x:t>
        </x:is>
      </x:c>
      <x:c r="J141" t="n">
        <x:v>2</x:v>
      </x:c>
      <x:c r="K141" t="n">
        <x:v>48</x:v>
      </x:c>
      <x:c r="L141" t="n">
        <x:v>119</x:v>
      </x:c>
      <x:c r="M141" t="n">
        <x:v>0</x:v>
      </x:c>
      <x:c r="N141" t="n">
        <x:f>J141*L141*(1-M141)</x:f>
        <x:v>238</x:v>
      </x:c>
      <x:c r="O141" t="n">
        <x:f>J141*K141</x:f>
        <x:v>96</x:v>
      </x:c>
      <x:c r="P141" t="n">
        <x:f>N141-O141</x:f>
        <x:v>142</x:v>
      </x:c>
      <x:c r="Q141" t="n">
        <x:f>IF(N141=0,0,P141/N141)</x:f>
        <x:v>0.5966386554621849</x:v>
      </x:c>
      <x:c r="R141" t="inlineStr">
        <x:is>
          <x:t xml:space="preserve">Gift Card</x:t>
        </x:is>
      </x:c>
      <x:c r="S141" t="inlineStr">
        <x:is>
          <x:t xml:space="preserve">Stylist Recommendation</x:t>
        </x:is>
      </x:c>
    </x:row>
    <x:row r="142">
      <x:c r="A142" t="inlineStr">
        <x:is>
          <x:t xml:space="preserve">TRX-0141</x:t>
        </x:is>
      </x:c>
      <x:c r="B142" t="n">
        <x:v>46109</x:v>
      </x:c>
      <x:c r="C142" t="inlineStr">
        <x:is>
          <x:t xml:space="preserve">DR-001</x:t>
        </x:is>
      </x:c>
      <x:c r="D142" t="inlineStr">
        <x:is>
          <x:t xml:space="preserve">Gabriel Samra Doral</x:t>
        </x:is>
      </x:c>
      <x:c r="E142" t="inlineStr">
        <x:is>
          <x:t xml:space="preserve">Truss</x:t>
        </x:is>
      </x:c>
      <x:c r="F142" t="inlineStr">
        <x:is>
          <x:t xml:space="preserve">TRU-OIL-004</x:t>
        </x:is>
      </x:c>
      <x:c r="G142" t="inlineStr">
        <x:is>
          <x:t xml:space="preserve">Deluxe Prime Oil</x:t>
        </x:is>
      </x:c>
      <x:c r="H142" t="inlineStr">
        <x:is>
          <x:t xml:space="preserve">Finishing</x:t>
        </x:is>
      </x:c>
      <x:c r="I142" t="inlineStr">
        <x:is>
          <x:t xml:space="preserve">Magaly</x:t>
        </x:is>
      </x:c>
      <x:c r="J142" t="n">
        <x:v>2</x:v>
      </x:c>
      <x:c r="K142" t="n">
        <x:v>18</x:v>
      </x:c>
      <x:c r="L142" t="n">
        <x:v>42</x:v>
      </x:c>
      <x:c r="M142" t="n">
        <x:v>0</x:v>
      </x:c>
      <x:c r="N142" t="n">
        <x:f>J142*L142*(1-M142)</x:f>
        <x:v>84</x:v>
      </x:c>
      <x:c r="O142" t="n">
        <x:f>J142*K142</x:f>
        <x:v>36</x:v>
      </x:c>
      <x:c r="P142" t="n">
        <x:f>N142-O142</x:f>
        <x:v>48</x:v>
      </x:c>
      <x:c r="Q142" t="n">
        <x:f>IF(N142=0,0,P142/N142)</x:f>
        <x:v>0.5714285714285714</x:v>
      </x:c>
      <x:c r="R142" t="inlineStr">
        <x:is>
          <x:t xml:space="preserve">Apple Pay</x:t>
        </x:is>
      </x:c>
      <x:c r="S142" t="inlineStr">
        <x:is>
          <x:t xml:space="preserve">Stylist Recommendation</x:t>
        </x:is>
      </x:c>
    </x:row>
    <x:row r="143">
      <x:c r="A143" t="inlineStr">
        <x:is>
          <x:t xml:space="preserve">TRX-0142</x:t>
        </x:is>
      </x:c>
      <x:c r="B143" t="n">
        <x:v>46118</x:v>
      </x:c>
      <x:c r="C143" t="inlineStr">
        <x:is>
          <x:t xml:space="preserve">DR-001</x:t>
        </x:is>
      </x:c>
      <x:c r="D143" t="inlineStr">
        <x:is>
          <x:t xml:space="preserve">Gabriel Samra Doral</x:t>
        </x:is>
      </x:c>
      <x:c r="E143" t="inlineStr">
        <x:is>
          <x:t xml:space="preserve">Sutra</x:t>
        </x:is>
      </x:c>
      <x:c r="F143" t="inlineStr">
        <x:is>
          <x:t xml:space="preserve">SUT-FIR-001</x:t>
        </x:is>
      </x:c>
      <x:c r="G143" t="inlineStr">
        <x:is>
          <x:t xml:space="preserve">Mini Flat Iron</x:t>
        </x:is>
      </x:c>
      <x:c r="H143" t="inlineStr">
        <x:is>
          <x:t xml:space="preserve">Hot Tools</x:t>
        </x:is>
      </x:c>
      <x:c r="I143" t="inlineStr">
        <x:is>
          <x:t xml:space="preserve">Magaly</x:t>
        </x:is>
      </x:c>
      <x:c r="J143" t="n">
        <x:v>3</x:v>
      </x:c>
      <x:c r="K143" t="n">
        <x:v>38</x:v>
      </x:c>
      <x:c r="L143" t="n">
        <x:v>89</x:v>
      </x:c>
      <x:c r="M143" t="n">
        <x:v>0.05</x:v>
      </x:c>
      <x:c r="N143" t="n">
        <x:f>J143*L143*(1-M143)</x:f>
        <x:v>253.64999999999998</x:v>
      </x:c>
      <x:c r="O143" t="n">
        <x:f>J143*K143</x:f>
        <x:v>114</x:v>
      </x:c>
      <x:c r="P143" t="n">
        <x:f>N143-O143</x:f>
        <x:v>139.64999999999998</x:v>
      </x:c>
      <x:c r="Q143" t="n">
        <x:f>IF(N143=0,0,P143/N143)</x:f>
        <x:v>0.550561797752809</x:v>
      </x:c>
      <x:c r="R143" t="inlineStr">
        <x:is>
          <x:t xml:space="preserve">Card</x:t>
        </x:is>
      </x:c>
      <x:c r="S143" t="inlineStr">
        <x:is>
          <x:t xml:space="preserve">Existing Client</x:t>
        </x:is>
      </x:c>
    </x:row>
    <x:row r="144">
      <x:c r="A144" t="inlineStr">
        <x:is>
          <x:t xml:space="preserve">TRX-0143</x:t>
        </x:is>
      </x:c>
      <x:c r="B144" t="n">
        <x:v>46133</x:v>
      </x:c>
      <x:c r="C144" t="inlineStr">
        <x:is>
          <x:t xml:space="preserve">CG-001</x:t>
        </x:is>
      </x:c>
      <x:c r="D144" t="inlineStr">
        <x:is>
          <x:t xml:space="preserve">Gabriel Samra Coral Gables</x:t>
        </x:is>
      </x:c>
      <x:c r="E144" t="inlineStr">
        <x:is>
          <x:t xml:space="preserve">Truss</x:t>
        </x:is>
      </x:c>
      <x:c r="F144" t="inlineStr">
        <x:is>
          <x:t xml:space="preserve">TRU-CND-002</x:t>
        </x:is>
      </x:c>
      <x:c r="G144" t="inlineStr">
        <x:is>
          <x:t xml:space="preserve">Infusion Conditioner</x:t>
        </x:is>
      </x:c>
      <x:c r="H144" t="inlineStr">
        <x:is>
          <x:t xml:space="preserve">Hair Care</x:t>
        </x:is>
      </x:c>
      <x:c r="I144" t="inlineStr">
        <x:is>
          <x:t xml:space="preserve">Isaac</x:t>
        </x:is>
      </x:c>
      <x:c r="J144" t="n">
        <x:v>1</x:v>
      </x:c>
      <x:c r="K144" t="n">
        <x:v>15.25</x:v>
      </x:c>
      <x:c r="L144" t="n">
        <x:v>34</x:v>
      </x:c>
      <x:c r="M144" t="n">
        <x:v>0.05</x:v>
      </x:c>
      <x:c r="N144" t="n">
        <x:f>J144*L144*(1-M144)</x:f>
        <x:v>32.3</x:v>
      </x:c>
      <x:c r="O144" t="n">
        <x:f>J144*K144</x:f>
        <x:v>15.25</x:v>
      </x:c>
      <x:c r="P144" t="n">
        <x:f>N144-O144</x:f>
        <x:v>17.049999999999997</x:v>
      </x:c>
      <x:c r="Q144" t="n">
        <x:f>IF(N144=0,0,P144/N144)</x:f>
        <x:v>0.5278637770897833</x:v>
      </x:c>
      <x:c r="R144" t="inlineStr">
        <x:is>
          <x:t xml:space="preserve">Card</x:t>
        </x:is>
      </x:c>
      <x:c r="S144" t="inlineStr">
        <x:is>
          <x:t xml:space="preserve">Post-Service Retail</x:t>
        </x:is>
      </x:c>
    </x:row>
    <x:row r="145">
      <x:c r="A145" t="inlineStr">
        <x:is>
          <x:t xml:space="preserve">TRX-0144</x:t>
        </x:is>
      </x:c>
      <x:c r="B145" t="n">
        <x:v>46113</x:v>
      </x:c>
      <x:c r="C145" t="inlineStr">
        <x:is>
          <x:t xml:space="preserve">DR-001</x:t>
        </x:is>
      </x:c>
      <x:c r="D145" t="inlineStr">
        <x:is>
          <x:t xml:space="preserve">Gabriel Samra Doral</x:t>
        </x:is>
      </x:c>
      <x:c r="E145" t="inlineStr">
        <x:is>
          <x:t xml:space="preserve">Truss</x:t>
        </x:is>
      </x:c>
      <x:c r="F145" t="inlineStr">
        <x:is>
          <x:t xml:space="preserve">TRU-CND-002</x:t>
        </x:is>
      </x:c>
      <x:c r="G145" t="inlineStr">
        <x:is>
          <x:t xml:space="preserve">Infusion Conditioner</x:t>
        </x:is>
      </x:c>
      <x:c r="H145" t="inlineStr">
        <x:is>
          <x:t xml:space="preserve">Hair Care</x:t>
        </x:is>
      </x:c>
      <x:c r="I145" t="inlineStr">
        <x:is>
          <x:t xml:space="preserve">Melia</x:t>
        </x:is>
      </x:c>
      <x:c r="J145" t="n">
        <x:v>2</x:v>
      </x:c>
      <x:c r="K145" t="n">
        <x:v>15.25</x:v>
      </x:c>
      <x:c r="L145" t="n">
        <x:v>34</x:v>
      </x:c>
      <x:c r="M145" t="n">
        <x:v>0.1</x:v>
      </x:c>
      <x:c r="N145" t="n">
        <x:f>J145*L145*(1-M145)</x:f>
        <x:v>61.2</x:v>
      </x:c>
      <x:c r="O145" t="n">
        <x:f>J145*K145</x:f>
        <x:v>30.5</x:v>
      </x:c>
      <x:c r="P145" t="n">
        <x:f>N145-O145</x:f>
        <x:v>30.700000000000003</x:v>
      </x:c>
      <x:c r="Q145" t="n">
        <x:f>IF(N145=0,0,P145/N145)</x:f>
        <x:v>0.5016339869281046</x:v>
      </x:c>
      <x:c r="R145" t="inlineStr">
        <x:is>
          <x:t xml:space="preserve">Card</x:t>
        </x:is>
      </x:c>
      <x:c r="S145" t="inlineStr">
        <x:is>
          <x:t xml:space="preserve">Post-Service Retail</x:t>
        </x:is>
      </x:c>
    </x:row>
    <x:row r="146">
      <x:c r="A146" t="inlineStr">
        <x:is>
          <x:t xml:space="preserve">TRX-0145</x:t>
        </x:is>
      </x:c>
      <x:c r="B146" t="n">
        <x:v>46113</x:v>
      </x:c>
      <x:c r="C146" t="inlineStr">
        <x:is>
          <x:t xml:space="preserve">DR-001</x:t>
        </x:is>
      </x:c>
      <x:c r="D146" t="inlineStr">
        <x:is>
          <x:t xml:space="preserve">Gabriel Samra Doral</x:t>
        </x:is>
      </x:c>
      <x:c r="E146" t="inlineStr">
        <x:is>
          <x:t xml:space="preserve">Sutra</x:t>
        </x:is>
      </x:c>
      <x:c r="F146" t="inlineStr">
        <x:is>
          <x:t xml:space="preserve">SUT-HSP-005</x:t>
        </x:is>
      </x:c>
      <x:c r="G146" t="inlineStr">
        <x:is>
          <x:t xml:space="preserve">Heat Spray</x:t>
        </x:is>
      </x:c>
      <x:c r="H146" t="inlineStr">
        <x:is>
          <x:t xml:space="preserve">Styling</x:t>
        </x:is>
      </x:c>
      <x:c r="I146" t="inlineStr">
        <x:is>
          <x:t xml:space="preserve">Isaac</x:t>
        </x:is>
      </x:c>
      <x:c r="J146" t="n">
        <x:v>1</x:v>
      </x:c>
      <x:c r="K146" t="n">
        <x:v>9.5</x:v>
      </x:c>
      <x:c r="L146" t="n">
        <x:v>24</x:v>
      </x:c>
      <x:c r="M146" t="n">
        <x:v>0</x:v>
      </x:c>
      <x:c r="N146" t="n">
        <x:f>J146*L146*(1-M146)</x:f>
        <x:v>24</x:v>
      </x:c>
      <x:c r="O146" t="n">
        <x:f>J146*K146</x:f>
        <x:v>9.5</x:v>
      </x:c>
      <x:c r="P146" t="n">
        <x:f>N146-O146</x:f>
        <x:v>14.5</x:v>
      </x:c>
      <x:c r="Q146" t="n">
        <x:f>IF(N146=0,0,P146/N146)</x:f>
        <x:v>0.6041666666666666</x:v>
      </x:c>
      <x:c r="R146" t="inlineStr">
        <x:is>
          <x:t xml:space="preserve">Gift Card</x:t>
        </x:is>
      </x:c>
      <x:c r="S146" t="inlineStr">
        <x:is>
          <x:t xml:space="preserve">Walk-in Client</x:t>
        </x:is>
      </x:c>
    </x:row>
    <x:row r="147">
      <x:c r="A147" t="inlineStr">
        <x:is>
          <x:t xml:space="preserve">TRX-0146</x:t>
        </x:is>
      </x:c>
      <x:c r="B147" t="n">
        <x:v>46117</x:v>
      </x:c>
      <x:c r="C147" t="inlineStr">
        <x:is>
          <x:t xml:space="preserve">DR-001</x:t>
        </x:is>
      </x:c>
      <x:c r="D147" t="inlineStr">
        <x:is>
          <x:t xml:space="preserve">Gabriel Samra Doral</x:t>
        </x:is>
      </x:c>
      <x:c r="E147" t="inlineStr">
        <x:is>
          <x:t xml:space="preserve">Truss</x:t>
        </x:is>
      </x:c>
      <x:c r="F147" t="inlineStr">
        <x:is>
          <x:t xml:space="preserve">TRU-CND-002</x:t>
        </x:is>
      </x:c>
      <x:c r="G147" t="inlineStr">
        <x:is>
          <x:t xml:space="preserve">Infusion Conditioner</x:t>
        </x:is>
      </x:c>
      <x:c r="H147" t="inlineStr">
        <x:is>
          <x:t xml:space="preserve">Hair Care</x:t>
        </x:is>
      </x:c>
      <x:c r="I147" t="inlineStr">
        <x:is>
          <x:t xml:space="preserve">Isaac</x:t>
        </x:is>
      </x:c>
      <x:c r="J147" t="n">
        <x:v>1</x:v>
      </x:c>
      <x:c r="K147" t="n">
        <x:v>15.25</x:v>
      </x:c>
      <x:c r="L147" t="n">
        <x:v>34</x:v>
      </x:c>
      <x:c r="M147" t="n">
        <x:v>0</x:v>
      </x:c>
      <x:c r="N147" t="n">
        <x:f>J147*L147*(1-M147)</x:f>
        <x:v>34</x:v>
      </x:c>
      <x:c r="O147" t="n">
        <x:f>J147*K147</x:f>
        <x:v>15.25</x:v>
      </x:c>
      <x:c r="P147" t="n">
        <x:f>N147-O147</x:f>
        <x:v>18.75</x:v>
      </x:c>
      <x:c r="Q147" t="n">
        <x:f>IF(N147=0,0,P147/N147)</x:f>
        <x:v>0.5514705882352942</x:v>
      </x:c>
      <x:c r="R147" t="inlineStr">
        <x:is>
          <x:t xml:space="preserve">Gift Card</x:t>
        </x:is>
      </x:c>
      <x:c r="S147" t="inlineStr">
        <x:is>
          <x:t xml:space="preserve">Existing Client</x:t>
        </x:is>
      </x:c>
    </x:row>
    <x:row r="148">
      <x:c r="A148" t="inlineStr">
        <x:is>
          <x:t xml:space="preserve">TRX-0147</x:t>
        </x:is>
      </x:c>
      <x:c r="B148" t="n">
        <x:v>46030</x:v>
      </x:c>
      <x:c r="C148" t="inlineStr">
        <x:is>
          <x:t xml:space="preserve">DR-001</x:t>
        </x:is>
      </x:c>
      <x:c r="D148" t="inlineStr">
        <x:is>
          <x:t xml:space="preserve">Gabriel Samra Doral</x:t>
        </x:is>
      </x:c>
      <x:c r="E148" t="inlineStr">
        <x:is>
          <x:t xml:space="preserve">Sutra</x:t>
        </x:is>
      </x:c>
      <x:c r="F148" t="inlineStr">
        <x:is>
          <x:t xml:space="preserve">SUT-HSP-005</x:t>
        </x:is>
      </x:c>
      <x:c r="G148" t="inlineStr">
        <x:is>
          <x:t xml:space="preserve">Heat Spray</x:t>
        </x:is>
      </x:c>
      <x:c r="H148" t="inlineStr">
        <x:is>
          <x:t xml:space="preserve">Styling</x:t>
        </x:is>
      </x:c>
      <x:c r="I148" t="inlineStr">
        <x:is>
          <x:t xml:space="preserve">Isaac</x:t>
        </x:is>
      </x:c>
      <x:c r="J148" t="n">
        <x:v>1</x:v>
      </x:c>
      <x:c r="K148" t="n">
        <x:v>9.5</x:v>
      </x:c>
      <x:c r="L148" t="n">
        <x:v>24</x:v>
      </x:c>
      <x:c r="M148" t="n">
        <x:v>0.05</x:v>
      </x:c>
      <x:c r="N148" t="n">
        <x:f>J148*L148*(1-M148)</x:f>
        <x:v>22.799999999999997</x:v>
      </x:c>
      <x:c r="O148" t="n">
        <x:f>J148*K148</x:f>
        <x:v>9.5</x:v>
      </x:c>
      <x:c r="P148" t="n">
        <x:f>N148-O148</x:f>
        <x:v>13.299999999999997</x:v>
      </x:c>
      <x:c r="Q148" t="n">
        <x:f>IF(N148=0,0,P148/N148)</x:f>
        <x:v>0.5833333333333333</x:v>
      </x:c>
      <x:c r="R148" t="inlineStr">
        <x:is>
          <x:t xml:space="preserve">Apple Pay</x:t>
        </x:is>
      </x:c>
      <x:c r="S148" t="inlineStr">
        <x:is>
          <x:t xml:space="preserve">Post-Service Retail</x:t>
        </x:is>
      </x:c>
    </x:row>
    <x:row r="149">
      <x:c r="A149" t="inlineStr">
        <x:is>
          <x:t xml:space="preserve">TRX-0148</x:t>
        </x:is>
      </x:c>
      <x:c r="B149" t="n">
        <x:v>46059</x:v>
      </x:c>
      <x:c r="C149" t="inlineStr">
        <x:is>
          <x:t xml:space="preserve">CG-001</x:t>
        </x:is>
      </x:c>
      <x:c r="D149" t="inlineStr">
        <x:is>
          <x:t xml:space="preserve">Gabriel Samra Coral Gables</x:t>
        </x:is>
      </x:c>
      <x:c r="E149" t="inlineStr">
        <x:is>
          <x:t xml:space="preserve">Truss</x:t>
        </x:is>
      </x:c>
      <x:c r="F149" t="inlineStr">
        <x:is>
          <x:t xml:space="preserve">TRU-SHP-001</x:t>
        </x:is>
      </x:c>
      <x:c r="G149" t="inlineStr">
        <x:is>
          <x:t xml:space="preserve">Infusion Shampoo</x:t>
        </x:is>
      </x:c>
      <x:c r="H149" t="inlineStr">
        <x:is>
          <x:t xml:space="preserve">Hair Care</x:t>
        </x:is>
      </x:c>
      <x:c r="I149" t="inlineStr">
        <x:is>
          <x:t xml:space="preserve">Isaac</x:t>
        </x:is>
      </x:c>
      <x:c r="J149" t="n">
        <x:v>1</x:v>
      </x:c>
      <x:c r="K149" t="n">
        <x:v>14.5</x:v>
      </x:c>
      <x:c r="L149" t="n">
        <x:v>32</x:v>
      </x:c>
      <x:c r="M149" t="n">
        <x:v>0</x:v>
      </x:c>
      <x:c r="N149" t="n">
        <x:f>J149*L149*(1-M149)</x:f>
        <x:v>32</x:v>
      </x:c>
      <x:c r="O149" t="n">
        <x:f>J149*K149</x:f>
        <x:v>14.5</x:v>
      </x:c>
      <x:c r="P149" t="n">
        <x:f>N149-O149</x:f>
        <x:v>17.5</x:v>
      </x:c>
      <x:c r="Q149" t="n">
        <x:f>IF(N149=0,0,P149/N149)</x:f>
        <x:v>0.546875</x:v>
      </x:c>
      <x:c r="R149" t="inlineStr">
        <x:is>
          <x:t xml:space="preserve">Card</x:t>
        </x:is>
      </x:c>
      <x:c r="S149" t="inlineStr">
        <x:is>
          <x:t xml:space="preserve">Existing Client</x:t>
        </x:is>
      </x:c>
    </x:row>
    <x:row r="150">
      <x:c r="A150" t="inlineStr">
        <x:is>
          <x:t xml:space="preserve">TRX-0149</x:t>
        </x:is>
      </x:c>
      <x:c r="B150" t="n">
        <x:v>46119</x:v>
      </x:c>
      <x:c r="C150" t="inlineStr">
        <x:is>
          <x:t xml:space="preserve">CG-001</x:t>
        </x:is>
      </x:c>
      <x:c r="D150" t="inlineStr">
        <x:is>
          <x:t xml:space="preserve">Gabriel Samra Coral Gables</x:t>
        </x:is>
      </x:c>
      <x:c r="E150" t="inlineStr">
        <x:is>
          <x:t xml:space="preserve">Sutra</x:t>
        </x:is>
      </x:c>
      <x:c r="F150" t="inlineStr">
        <x:is>
          <x:t xml:space="preserve">SUT-DRY-004</x:t>
        </x:is>
      </x:c>
      <x:c r="G150" t="inlineStr">
        <x:is>
          <x:t xml:space="preserve">Professional Hair Dryer</x:t>
        </x:is>
      </x:c>
      <x:c r="H150" t="inlineStr">
        <x:is>
          <x:t xml:space="preserve">Hot Tools</x:t>
        </x:is>
      </x:c>
      <x:c r="I150" t="inlineStr">
        <x:is>
          <x:t xml:space="preserve">Melia</x:t>
        </x:is>
      </x:c>
      <x:c r="J150" t="n">
        <x:v>1</x:v>
      </x:c>
      <x:c r="K150" t="n">
        <x:v>62</x:v>
      </x:c>
      <x:c r="L150" t="n">
        <x:v>149</x:v>
      </x:c>
      <x:c r="M150" t="n">
        <x:v>0</x:v>
      </x:c>
      <x:c r="N150" t="n">
        <x:f>J150*L150*(1-M150)</x:f>
        <x:v>149</x:v>
      </x:c>
      <x:c r="O150" t="n">
        <x:f>J150*K150</x:f>
        <x:v>62</x:v>
      </x:c>
      <x:c r="P150" t="n">
        <x:f>N150-O150</x:f>
        <x:v>87</x:v>
      </x:c>
      <x:c r="Q150" t="n">
        <x:f>IF(N150=0,0,P150/N150)</x:f>
        <x:v>0.5838926174496645</x:v>
      </x:c>
      <x:c r="R150" t="inlineStr">
        <x:is>
          <x:t xml:space="preserve">Apple Pay</x:t>
        </x:is>
      </x:c>
      <x:c r="S150" t="inlineStr">
        <x:is>
          <x:t xml:space="preserve">Post-Service Retail</x:t>
        </x:is>
      </x:c>
    </x:row>
    <x:row r="151">
      <x:c r="A151" t="inlineStr">
        <x:is>
          <x:t xml:space="preserve">TRX-0150</x:t>
        </x:is>
      </x:c>
      <x:c r="B151" t="n">
        <x:v>46036</x:v>
      </x:c>
      <x:c r="C151" t="inlineStr">
        <x:is>
          <x:t xml:space="preserve">CG-001</x:t>
        </x:is>
      </x:c>
      <x:c r="D151" t="inlineStr">
        <x:is>
          <x:t xml:space="preserve">Gabriel Samra Coral Gables</x:t>
        </x:is>
      </x:c>
      <x:c r="E151" t="inlineStr">
        <x:is>
          <x:t xml:space="preserve">Sutra</x:t>
        </x:is>
      </x:c>
      <x:c r="F151" t="inlineStr">
        <x:is>
          <x:t xml:space="preserve">SUT-HSP-005</x:t>
        </x:is>
      </x:c>
      <x:c r="G151" t="inlineStr">
        <x:is>
          <x:t xml:space="preserve">Heat Spray</x:t>
        </x:is>
      </x:c>
      <x:c r="H151" t="inlineStr">
        <x:is>
          <x:t xml:space="preserve">Styling</x:t>
        </x:is>
      </x:c>
      <x:c r="I151" t="inlineStr">
        <x:is>
          <x:t xml:space="preserve">Melia</x:t>
        </x:is>
      </x:c>
      <x:c r="J151" t="n">
        <x:v>1</x:v>
      </x:c>
      <x:c r="K151" t="n">
        <x:v>9.5</x:v>
      </x:c>
      <x:c r="L151" t="n">
        <x:v>24</x:v>
      </x:c>
      <x:c r="M151" t="n">
        <x:v>0.05</x:v>
      </x:c>
      <x:c r="N151" t="n">
        <x:f>J151*L151*(1-M151)</x:f>
        <x:v>22.799999999999997</x:v>
      </x:c>
      <x:c r="O151" t="n">
        <x:f>J151*K151</x:f>
        <x:v>9.5</x:v>
      </x:c>
      <x:c r="P151" t="n">
        <x:f>N151-O151</x:f>
        <x:v>13.299999999999997</x:v>
      </x:c>
      <x:c r="Q151" t="n">
        <x:f>IF(N151=0,0,P151/N151)</x:f>
        <x:v>0.5833333333333333</x:v>
      </x:c>
      <x:c r="R151" t="inlineStr">
        <x:is>
          <x:t xml:space="preserve">Card</x:t>
        </x:is>
      </x:c>
      <x:c r="S151" t="inlineStr">
        <x:is>
          <x:t xml:space="preserve">Post-Service Retail</x:t>
        </x:is>
      </x:c>
    </x:row>
    <x:row r="152">
      <x:c r="A152" t="inlineStr">
        <x:is>
          <x:t xml:space="preserve">T100152</x:t>
        </x:is>
      </x:c>
      <x:c r="B152" s="10" t="n">
        <x:v>45292</x:v>
      </x:c>
      <x:c r="C152" t="inlineStr">
        <x:is>
          <x:t xml:space="preserve">S001</x:t>
        </x:is>
      </x:c>
      <x:c r="D152" t="inlineStr">
        <x:is>
          <x:t xml:space="preserve">Miami Design District</x:t>
        </x:is>
      </x:c>
      <x:c r="E152" t="inlineStr">
        <x:is>
          <x:t xml:space="preserve">Gabriel Samra</x:t>
        </x:is>
      </x:c>
      <x:c r="F152" t="inlineStr">
        <x:is>
          <x:t xml:space="preserve">GS001</x:t>
        </x:is>
      </x:c>
      <x:c r="G152" t="inlineStr">
        <x:is>
          <x:t xml:space="preserve">Keratin Treatment</x:t>
        </x:is>
      </x:c>
      <x:c r="H152" t="inlineStr">
        <x:is>
          <x:t xml:space="preserve">Hair Treatment</x:t>
        </x:is>
      </x:c>
      <x:c r="I152" t="inlineStr">
        <x:is>
          <x:t xml:space="preserve">Olivia</x:t>
        </x:is>
      </x:c>
      <x:c r="J152" t="n">
        <x:v>37</x:v>
      </x:c>
      <x:c r="K152" t="n">
        <x:v>19.91</x:v>
      </x:c>
      <x:c r="L152" t="n">
        <x:v>42.69</x:v>
      </x:c>
      <x:c r="M152" t="n">
        <x:v>5</x:v>
      </x:c>
      <x:c r="N152" t="n">
        <x:v>1579.53</x:v>
      </x:c>
      <x:c r="O152" t="n">
        <x:v>736.67</x:v>
      </x:c>
      <x:c r="P152" t="n">
        <x:v>842.86</x:v>
      </x:c>
      <x:c r="Q152" t="n">
        <x:v>53.36</x:v>
      </x:c>
      <x:c r="R152" t="inlineStr">
        <x:is>
          <x:t xml:space="preserve">Apple Pay</x:t>
        </x:is>
      </x:c>
      <x:c r="S152" t="inlineStr">
        <x:is>
          <x:t xml:space="preserve">Returning</x:t>
        </x:is>
      </x:c>
    </x:row>
    <x:row r="153">
      <x:c r="A153" t="inlineStr">
        <x:is>
          <x:t xml:space="preserve">T100153</x:t>
        </x:is>
      </x:c>
      <x:c r="B153" s="10" t="n">
        <x:v>45323</x:v>
      </x:c>
      <x:c r="C153" t="inlineStr">
        <x:is>
          <x:t xml:space="preserve">S001</x:t>
        </x:is>
      </x:c>
      <x:c r="D153" t="inlineStr">
        <x:is>
          <x:t xml:space="preserve">Miami Design District</x:t>
        </x:is>
      </x:c>
      <x:c r="E153" t="inlineStr">
        <x:is>
          <x:t xml:space="preserve">Gabriel Samra</x:t>
        </x:is>
      </x:c>
      <x:c r="F153" t="inlineStr">
        <x:is>
          <x:t xml:space="preserve">GS001</x:t>
        </x:is>
      </x:c>
      <x:c r="G153" t="inlineStr">
        <x:is>
          <x:t xml:space="preserve">Keratin Treatment</x:t>
        </x:is>
      </x:c>
      <x:c r="H153" t="inlineStr">
        <x:is>
          <x:t xml:space="preserve">Hair Treatment</x:t>
        </x:is>
      </x:c>
      <x:c r="I153" t="inlineStr">
        <x:is>
          <x:t xml:space="preserve">Lucas</x:t>
        </x:is>
      </x:c>
      <x:c r="J153" t="n">
        <x:v>40</x:v>
      </x:c>
      <x:c r="K153" t="n">
        <x:v>24.67</x:v>
      </x:c>
      <x:c r="L153" t="n">
        <x:v>78.17</x:v>
      </x:c>
      <x:c r="M153" t="n">
        <x:v>0</x:v>
      </x:c>
      <x:c r="N153" t="n">
        <x:v>3126.8</x:v>
      </x:c>
      <x:c r="O153" t="n">
        <x:v>986.8</x:v>
      </x:c>
      <x:c r="P153" t="n">
        <x:v>2140</x:v>
      </x:c>
      <x:c r="Q153" t="n">
        <x:v>68.44</x:v>
      </x:c>
      <x:c r="R153" t="inlineStr">
        <x:is>
          <x:t xml:space="preserve">Credit Card</x:t>
        </x:is>
      </x:c>
      <x:c r="S153" t="inlineStr">
        <x:is>
          <x:t xml:space="preserve">New</x:t>
        </x:is>
      </x:c>
    </x:row>
    <x:row r="154">
      <x:c r="A154" t="inlineStr">
        <x:is>
          <x:t xml:space="preserve">T100154</x:t>
        </x:is>
      </x:c>
      <x:c r="B154" s="10" t="n">
        <x:v>45352</x:v>
      </x:c>
      <x:c r="C154" t="inlineStr">
        <x:is>
          <x:t xml:space="preserve">S001</x:t>
        </x:is>
      </x:c>
      <x:c r="D154" t="inlineStr">
        <x:is>
          <x:t xml:space="preserve">Miami Design District</x:t>
        </x:is>
      </x:c>
      <x:c r="E154" t="inlineStr">
        <x:is>
          <x:t xml:space="preserve">Gabriel Samra</x:t>
        </x:is>
      </x:c>
      <x:c r="F154" t="inlineStr">
        <x:is>
          <x:t xml:space="preserve">GS001</x:t>
        </x:is>
      </x:c>
      <x:c r="G154" t="inlineStr">
        <x:is>
          <x:t xml:space="preserve">Keratin Treatment</x:t>
        </x:is>
      </x:c>
      <x:c r="H154" t="inlineStr">
        <x:is>
          <x:t xml:space="preserve">Hair Treatment</x:t>
        </x:is>
      </x:c>
      <x:c r="I154" t="inlineStr">
        <x:is>
          <x:t xml:space="preserve">Lucas</x:t>
        </x:is>
      </x:c>
      <x:c r="J154" t="n">
        <x:v>43</x:v>
      </x:c>
      <x:c r="K154" t="n">
        <x:v>30.26</x:v>
      </x:c>
      <x:c r="L154" t="n">
        <x:v>81.76000000000001</x:v>
      </x:c>
      <x:c r="M154" t="n">
        <x:v>10</x:v>
      </x:c>
      <x:c r="N154" t="n">
        <x:v>3515.68</x:v>
      </x:c>
      <x:c r="O154" t="n">
        <x:v>1301.18</x:v>
      </x:c>
      <x:c r="P154" t="n">
        <x:v>2214.5</x:v>
      </x:c>
      <x:c r="Q154" t="n">
        <x:v>62.99</x:v>
      </x:c>
      <x:c r="R154" t="inlineStr">
        <x:is>
          <x:t xml:space="preserve">Cash</x:t>
        </x:is>
      </x:c>
      <x:c r="S154" t="inlineStr">
        <x:is>
          <x:t xml:space="preserve">Returning</x:t>
        </x:is>
      </x:c>
    </x:row>
    <x:row r="155">
      <x:c r="A155" t="inlineStr">
        <x:is>
          <x:t xml:space="preserve">T100155</x:t>
        </x:is>
      </x:c>
      <x:c r="B155" s="10" t="n">
        <x:v>45383</x:v>
      </x:c>
      <x:c r="C155" t="inlineStr">
        <x:is>
          <x:t xml:space="preserve">S001</x:t>
        </x:is>
      </x:c>
      <x:c r="D155" t="inlineStr">
        <x:is>
          <x:t xml:space="preserve">Miami Design District</x:t>
        </x:is>
      </x:c>
      <x:c r="E155" t="inlineStr">
        <x:is>
          <x:t xml:space="preserve">Gabriel Samra</x:t>
        </x:is>
      </x:c>
      <x:c r="F155" t="inlineStr">
        <x:is>
          <x:t xml:space="preserve">GS001</x:t>
        </x:is>
      </x:c>
      <x:c r="G155" t="inlineStr">
        <x:is>
          <x:t xml:space="preserve">Keratin Treatment</x:t>
        </x:is>
      </x:c>
      <x:c r="H155" t="inlineStr">
        <x:is>
          <x:t xml:space="preserve">Hair Treatment</x:t>
        </x:is>
      </x:c>
      <x:c r="I155" t="inlineStr">
        <x:is>
          <x:t xml:space="preserve">Lucas</x:t>
        </x:is>
      </x:c>
      <x:c r="J155" t="n">
        <x:v>41</x:v>
      </x:c>
      <x:c r="K155" t="n">
        <x:v>28.99</x:v>
      </x:c>
      <x:c r="L155" t="n">
        <x:v>92.34999999999999</x:v>
      </x:c>
      <x:c r="M155" t="n">
        <x:v>0</x:v>
      </x:c>
      <x:c r="N155" t="n">
        <x:v>3786.35</x:v>
      </x:c>
      <x:c r="O155" t="n">
        <x:v>1188.59</x:v>
      </x:c>
      <x:c r="P155" t="n">
        <x:v>2597.76</x:v>
      </x:c>
      <x:c r="Q155" t="n">
        <x:v>68.61</x:v>
      </x:c>
      <x:c r="R155" t="inlineStr">
        <x:is>
          <x:t xml:space="preserve">Apple Pay</x:t>
        </x:is>
      </x:c>
      <x:c r="S155" t="inlineStr">
        <x:is>
          <x:t xml:space="preserve">Returning</x:t>
        </x:is>
      </x:c>
    </x:row>
    <x:row r="156">
      <x:c r="A156" t="inlineStr">
        <x:is>
          <x:t xml:space="preserve">T100156</x:t>
        </x:is>
      </x:c>
      <x:c r="B156" s="10" t="n">
        <x:v>45413</x:v>
      </x:c>
      <x:c r="C156" t="inlineStr">
        <x:is>
          <x:t xml:space="preserve">S001</x:t>
        </x:is>
      </x:c>
      <x:c r="D156" t="inlineStr">
        <x:is>
          <x:t xml:space="preserve">Miami Design District</x:t>
        </x:is>
      </x:c>
      <x:c r="E156" t="inlineStr">
        <x:is>
          <x:t xml:space="preserve">Gabriel Samra</x:t>
        </x:is>
      </x:c>
      <x:c r="F156" t="inlineStr">
        <x:is>
          <x:t xml:space="preserve">GS001</x:t>
        </x:is>
      </x:c>
      <x:c r="G156" t="inlineStr">
        <x:is>
          <x:t xml:space="preserve">Keratin Treatment</x:t>
        </x:is>
      </x:c>
      <x:c r="H156" t="inlineStr">
        <x:is>
          <x:t xml:space="preserve">Hair Treatment</x:t>
        </x:is>
      </x:c>
      <x:c r="I156" t="inlineStr">
        <x:is>
          <x:t xml:space="preserve">Emma</x:t>
        </x:is>
      </x:c>
      <x:c r="J156" t="n">
        <x:v>57</x:v>
      </x:c>
      <x:c r="K156" t="n">
        <x:v>26.48</x:v>
      </x:c>
      <x:c r="L156" t="n">
        <x:v>76.93000000000001</x:v>
      </x:c>
      <x:c r="M156" t="n">
        <x:v>10</x:v>
      </x:c>
      <x:c r="N156" t="n">
        <x:v>4385.01</x:v>
      </x:c>
      <x:c r="O156" t="n">
        <x:v>1509.36</x:v>
      </x:c>
      <x:c r="P156" t="n">
        <x:v>2875.65</x:v>
      </x:c>
      <x:c r="Q156" t="n">
        <x:v>65.58</x:v>
      </x:c>
      <x:c r="R156" t="inlineStr">
        <x:is>
          <x:t xml:space="preserve">Credit Card</x:t>
        </x:is>
      </x:c>
      <x:c r="S156" t="inlineStr">
        <x:is>
          <x:t xml:space="preserve">Returning</x:t>
        </x:is>
      </x:c>
    </x:row>
    <x:row r="157">
      <x:c r="A157" t="inlineStr">
        <x:is>
          <x:t xml:space="preserve">T100157</x:t>
        </x:is>
      </x:c>
      <x:c r="B157" s="10" t="n">
        <x:v>45444</x:v>
      </x:c>
      <x:c r="C157" t="inlineStr">
        <x:is>
          <x:t xml:space="preserve">S001</x:t>
        </x:is>
      </x:c>
      <x:c r="D157" t="inlineStr">
        <x:is>
          <x:t xml:space="preserve">Miami Design District</x:t>
        </x:is>
      </x:c>
      <x:c r="E157" t="inlineStr">
        <x:is>
          <x:t xml:space="preserve">Gabriel Samra</x:t>
        </x:is>
      </x:c>
      <x:c r="F157" t="inlineStr">
        <x:is>
          <x:t xml:space="preserve">GS001</x:t>
        </x:is>
      </x:c>
      <x:c r="G157" t="inlineStr">
        <x:is>
          <x:t xml:space="preserve">Keratin Treatment</x:t>
        </x:is>
      </x:c>
      <x:c r="H157" t="inlineStr">
        <x:is>
          <x:t xml:space="preserve">Hair Treatment</x:t>
        </x:is>
      </x:c>
      <x:c r="I157" t="inlineStr">
        <x:is>
          <x:t xml:space="preserve">Olivia</x:t>
        </x:is>
      </x:c>
      <x:c r="J157" t="n">
        <x:v>56</x:v>
      </x:c>
      <x:c r="K157" t="n">
        <x:v>20.18</x:v>
      </x:c>
      <x:c r="L157" t="n">
        <x:v>69.40000000000001</x:v>
      </x:c>
      <x:c r="M157" t="n">
        <x:v>10</x:v>
      </x:c>
      <x:c r="N157" t="n">
        <x:v>3886.4</x:v>
      </x:c>
      <x:c r="O157" t="n">
        <x:v>1130.08</x:v>
      </x:c>
      <x:c r="P157" t="n">
        <x:v>2756.32</x:v>
      </x:c>
      <x:c r="Q157" t="n">
        <x:v>70.92</x:v>
      </x:c>
      <x:c r="R157" t="inlineStr">
        <x:is>
          <x:t xml:space="preserve">Credit Card</x:t>
        </x:is>
      </x:c>
      <x:c r="S157" t="inlineStr">
        <x:is>
          <x:t xml:space="preserve">New</x:t>
        </x:is>
      </x:c>
    </x:row>
    <x:row r="158">
      <x:c r="A158" t="inlineStr">
        <x:is>
          <x:t xml:space="preserve">T100158</x:t>
        </x:is>
      </x:c>
      <x:c r="B158" s="10" t="n">
        <x:v>45474</x:v>
      </x:c>
      <x:c r="C158" t="inlineStr">
        <x:is>
          <x:t xml:space="preserve">S001</x:t>
        </x:is>
      </x:c>
      <x:c r="D158" t="inlineStr">
        <x:is>
          <x:t xml:space="preserve">Miami Design District</x:t>
        </x:is>
      </x:c>
      <x:c r="E158" t="inlineStr">
        <x:is>
          <x:t xml:space="preserve">Gabriel Samra</x:t>
        </x:is>
      </x:c>
      <x:c r="F158" t="inlineStr">
        <x:is>
          <x:t xml:space="preserve">GS001</x:t>
        </x:is>
      </x:c>
      <x:c r="G158" t="inlineStr">
        <x:is>
          <x:t xml:space="preserve">Keratin Treatment</x:t>
        </x:is>
      </x:c>
      <x:c r="H158" t="inlineStr">
        <x:is>
          <x:t xml:space="preserve">Hair Treatment</x:t>
        </x:is>
      </x:c>
      <x:c r="I158" t="inlineStr">
        <x:is>
          <x:t xml:space="preserve">Lucas</x:t>
        </x:is>
      </x:c>
      <x:c r="J158" t="n">
        <x:v>61</x:v>
      </x:c>
      <x:c r="K158" t="n">
        <x:v>33.35</x:v>
      </x:c>
      <x:c r="L158" t="n">
        <x:v>80.31999999999999</x:v>
      </x:c>
      <x:c r="M158" t="n">
        <x:v>10</x:v>
      </x:c>
      <x:c r="N158" t="n">
        <x:v>4899.52</x:v>
      </x:c>
      <x:c r="O158" t="n">
        <x:v>2034.35</x:v>
      </x:c>
      <x:c r="P158" t="n">
        <x:v>2865.17</x:v>
      </x:c>
      <x:c r="Q158" t="n">
        <x:v>58.48</x:v>
      </x:c>
      <x:c r="R158" t="inlineStr">
        <x:is>
          <x:t xml:space="preserve">Apple Pay</x:t>
        </x:is>
      </x:c>
      <x:c r="S158" t="inlineStr">
        <x:is>
          <x:t xml:space="preserve">Returning</x:t>
        </x:is>
      </x:c>
    </x:row>
    <x:row r="159">
      <x:c r="A159" t="inlineStr">
        <x:is>
          <x:t xml:space="preserve">T100159</x:t>
        </x:is>
      </x:c>
      <x:c r="B159" s="10" t="n">
        <x:v>45505</x:v>
      </x:c>
      <x:c r="C159" t="inlineStr">
        <x:is>
          <x:t xml:space="preserve">S001</x:t>
        </x:is>
      </x:c>
      <x:c r="D159" t="inlineStr">
        <x:is>
          <x:t xml:space="preserve">Miami Design District</x:t>
        </x:is>
      </x:c>
      <x:c r="E159" t="inlineStr">
        <x:is>
          <x:t xml:space="preserve">Gabriel Samra</x:t>
        </x:is>
      </x:c>
      <x:c r="F159" t="inlineStr">
        <x:is>
          <x:t xml:space="preserve">GS001</x:t>
        </x:is>
      </x:c>
      <x:c r="G159" t="inlineStr">
        <x:is>
          <x:t xml:space="preserve">Keratin Treatment</x:t>
        </x:is>
      </x:c>
      <x:c r="H159" t="inlineStr">
        <x:is>
          <x:t xml:space="preserve">Hair Treatment</x:t>
        </x:is>
      </x:c>
      <x:c r="I159" t="inlineStr">
        <x:is>
          <x:t xml:space="preserve">Sophia</x:t>
        </x:is>
      </x:c>
      <x:c r="J159" t="n">
        <x:v>53</x:v>
      </x:c>
      <x:c r="K159" t="n">
        <x:v>19.52</x:v>
      </x:c>
      <x:c r="L159" t="n">
        <x:v>48.34</x:v>
      </x:c>
      <x:c r="M159" t="n">
        <x:v>0</x:v>
      </x:c>
      <x:c r="N159" t="n">
        <x:v>2562.02</x:v>
      </x:c>
      <x:c r="O159" t="n">
        <x:v>1034.56</x:v>
      </x:c>
      <x:c r="P159" t="n">
        <x:v>1527.46</x:v>
      </x:c>
      <x:c r="Q159" t="n">
        <x:v>59.62</x:v>
      </x:c>
      <x:c r="R159" t="inlineStr">
        <x:is>
          <x:t xml:space="preserve">Credit Card</x:t>
        </x:is>
      </x:c>
      <x:c r="S159" t="inlineStr">
        <x:is>
          <x:t xml:space="preserve">Returning</x:t>
        </x:is>
      </x:c>
    </x:row>
    <x:row r="160">
      <x:c r="A160" t="inlineStr">
        <x:is>
          <x:t xml:space="preserve">T100160</x:t>
        </x:is>
      </x:c>
      <x:c r="B160" s="10" t="n">
        <x:v>45536</x:v>
      </x:c>
      <x:c r="C160" t="inlineStr">
        <x:is>
          <x:t xml:space="preserve">S001</x:t>
        </x:is>
      </x:c>
      <x:c r="D160" t="inlineStr">
        <x:is>
          <x:t xml:space="preserve">Miami Design District</x:t>
        </x:is>
      </x:c>
      <x:c r="E160" t="inlineStr">
        <x:is>
          <x:t xml:space="preserve">Gabriel Samra</x:t>
        </x:is>
      </x:c>
      <x:c r="F160" t="inlineStr">
        <x:is>
          <x:t xml:space="preserve">GS001</x:t>
        </x:is>
      </x:c>
      <x:c r="G160" t="inlineStr">
        <x:is>
          <x:t xml:space="preserve">Keratin Treatment</x:t>
        </x:is>
      </x:c>
      <x:c r="H160" t="inlineStr">
        <x:is>
          <x:t xml:space="preserve">Hair Treatment</x:t>
        </x:is>
      </x:c>
      <x:c r="I160" t="inlineStr">
        <x:is>
          <x:t xml:space="preserve">Olivia</x:t>
        </x:is>
      </x:c>
      <x:c r="J160" t="n">
        <x:v>60</x:v>
      </x:c>
      <x:c r="K160" t="n">
        <x:v>19.31</x:v>
      </x:c>
      <x:c r="L160" t="n">
        <x:v>57.65</x:v>
      </x:c>
      <x:c r="M160" t="n">
        <x:v>10</x:v>
      </x:c>
      <x:c r="N160" t="n">
        <x:v>3459</x:v>
      </x:c>
      <x:c r="O160" t="n">
        <x:v>1158.6</x:v>
      </x:c>
      <x:c r="P160" t="n">
        <x:v>2300.4</x:v>
      </x:c>
      <x:c r="Q160" t="n">
        <x:v>66.5</x:v>
      </x:c>
      <x:c r="R160" t="inlineStr">
        <x:is>
          <x:t xml:space="preserve">Apple Pay</x:t>
        </x:is>
      </x:c>
      <x:c r="S160" t="inlineStr">
        <x:is>
          <x:t xml:space="preserve">Returning</x:t>
        </x:is>
      </x:c>
    </x:row>
    <x:row r="161">
      <x:c r="A161" t="inlineStr">
        <x:is>
          <x:t xml:space="preserve">T100161</x:t>
        </x:is>
      </x:c>
      <x:c r="B161" s="10" t="n">
        <x:v>45566</x:v>
      </x:c>
      <x:c r="C161" t="inlineStr">
        <x:is>
          <x:t xml:space="preserve">S001</x:t>
        </x:is>
      </x:c>
      <x:c r="D161" t="inlineStr">
        <x:is>
          <x:t xml:space="preserve">Miami Design District</x:t>
        </x:is>
      </x:c>
      <x:c r="E161" t="inlineStr">
        <x:is>
          <x:t xml:space="preserve">Gabriel Samra</x:t>
        </x:is>
      </x:c>
      <x:c r="F161" t="inlineStr">
        <x:is>
          <x:t xml:space="preserve">GS001</x:t>
        </x:is>
      </x:c>
      <x:c r="G161" t="inlineStr">
        <x:is>
          <x:t xml:space="preserve">Keratin Treatment</x:t>
        </x:is>
      </x:c>
      <x:c r="H161" t="inlineStr">
        <x:is>
          <x:t xml:space="preserve">Hair Treatment</x:t>
        </x:is>
      </x:c>
      <x:c r="I161" t="inlineStr">
        <x:is>
          <x:t xml:space="preserve">Olivia</x:t>
        </x:is>
      </x:c>
      <x:c r="J161" t="n">
        <x:v>63</x:v>
      </x:c>
      <x:c r="K161" t="n">
        <x:v>18.91</x:v>
      </x:c>
      <x:c r="L161" t="n">
        <x:v>46.42</x:v>
      </x:c>
      <x:c r="M161" t="n">
        <x:v>0</x:v>
      </x:c>
      <x:c r="N161" t="n">
        <x:v>2924.46</x:v>
      </x:c>
      <x:c r="O161" t="n">
        <x:v>1191.33</x:v>
      </x:c>
      <x:c r="P161" t="n">
        <x:v>1733.13</x:v>
      </x:c>
      <x:c r="Q161" t="n">
        <x:v>59.26</x:v>
      </x:c>
      <x:c r="R161" t="inlineStr">
        <x:is>
          <x:t xml:space="preserve">Apple Pay</x:t>
        </x:is>
      </x:c>
      <x:c r="S161" t="inlineStr">
        <x:is>
          <x:t xml:space="preserve">Returning</x:t>
        </x:is>
      </x:c>
    </x:row>
    <x:row r="162">
      <x:c r="A162" t="inlineStr">
        <x:is>
          <x:t xml:space="preserve">T100162</x:t>
        </x:is>
      </x:c>
      <x:c r="B162" s="10" t="n">
        <x:v>45597</x:v>
      </x:c>
      <x:c r="C162" t="inlineStr">
        <x:is>
          <x:t xml:space="preserve">S001</x:t>
        </x:is>
      </x:c>
      <x:c r="D162" t="inlineStr">
        <x:is>
          <x:t xml:space="preserve">Miami Design District</x:t>
        </x:is>
      </x:c>
      <x:c r="E162" t="inlineStr">
        <x:is>
          <x:t xml:space="preserve">Gabriel Samra</x:t>
        </x:is>
      </x:c>
      <x:c r="F162" t="inlineStr">
        <x:is>
          <x:t xml:space="preserve">GS001</x:t>
        </x:is>
      </x:c>
      <x:c r="G162" t="inlineStr">
        <x:is>
          <x:t xml:space="preserve">Keratin Treatment</x:t>
        </x:is>
      </x:c>
      <x:c r="H162" t="inlineStr">
        <x:is>
          <x:t xml:space="preserve">Hair Treatment</x:t>
        </x:is>
      </x:c>
      <x:c r="I162" t="inlineStr">
        <x:is>
          <x:t xml:space="preserve">Emma</x:t>
        </x:is>
      </x:c>
      <x:c r="J162" t="n">
        <x:v>245</x:v>
      </x:c>
      <x:c r="K162" t="n">
        <x:v>34.61</x:v>
      </x:c>
      <x:c r="L162" t="n">
        <x:v>81.51000000000001</x:v>
      </x:c>
      <x:c r="M162" t="n">
        <x:v>0</x:v>
      </x:c>
      <x:c r="N162" t="n">
        <x:v>19969.95</x:v>
      </x:c>
      <x:c r="O162" t="n">
        <x:v>8479.450000000001</x:v>
      </x:c>
      <x:c r="P162" t="n">
        <x:v>11490.5</x:v>
      </x:c>
      <x:c r="Q162" t="n">
        <x:v>57.54</x:v>
      </x:c>
      <x:c r="R162" t="inlineStr">
        <x:is>
          <x:t xml:space="preserve">Apple Pay</x:t>
        </x:is>
      </x:c>
      <x:c r="S162" t="inlineStr">
        <x:is>
          <x:t xml:space="preserve">New</x:t>
        </x:is>
      </x:c>
    </x:row>
    <x:row r="163">
      <x:c r="A163" t="inlineStr">
        <x:is>
          <x:t xml:space="preserve">T100163</x:t>
        </x:is>
      </x:c>
      <x:c r="B163" s="10" t="n">
        <x:v>45627</x:v>
      </x:c>
      <x:c r="C163" t="inlineStr">
        <x:is>
          <x:t xml:space="preserve">S001</x:t>
        </x:is>
      </x:c>
      <x:c r="D163" t="inlineStr">
        <x:is>
          <x:t xml:space="preserve">Miami Design District</x:t>
        </x:is>
      </x:c>
      <x:c r="E163" t="inlineStr">
        <x:is>
          <x:t xml:space="preserve">Gabriel Samra</x:t>
        </x:is>
      </x:c>
      <x:c r="F163" t="inlineStr">
        <x:is>
          <x:t xml:space="preserve">GS001</x:t>
        </x:is>
      </x:c>
      <x:c r="G163" t="inlineStr">
        <x:is>
          <x:t xml:space="preserve">Keratin Treatment</x:t>
        </x:is>
      </x:c>
      <x:c r="H163" t="inlineStr">
        <x:is>
          <x:t xml:space="preserve">Hair Treatment</x:t>
        </x:is>
      </x:c>
      <x:c r="I163" t="inlineStr">
        <x:is>
          <x:t xml:space="preserve">Emma</x:t>
        </x:is>
      </x:c>
      <x:c r="J163" t="n">
        <x:v>89</x:v>
      </x:c>
      <x:c r="K163" t="n">
        <x:v>14.13</x:v>
      </x:c>
      <x:c r="L163" t="n">
        <x:v>36.48</x:v>
      </x:c>
      <x:c r="M163" t="n">
        <x:v>0</x:v>
      </x:c>
      <x:c r="N163" t="n">
        <x:v>3246.72</x:v>
      </x:c>
      <x:c r="O163" t="n">
        <x:v>1257.57</x:v>
      </x:c>
      <x:c r="P163" t="n">
        <x:v>1989.15</x:v>
      </x:c>
      <x:c r="Q163" t="n">
        <x:v>61.27</x:v>
      </x:c>
      <x:c r="R163" t="inlineStr">
        <x:is>
          <x:t xml:space="preserve">Credit Card</x:t>
        </x:is>
      </x:c>
      <x:c r="S163" t="inlineStr">
        <x:is>
          <x:t xml:space="preserve">Returning</x:t>
        </x:is>
      </x:c>
    </x:row>
    <x:row r="164">
      <x:c r="A164" t="inlineStr">
        <x:is>
          <x:t xml:space="preserve">T100164</x:t>
        </x:is>
      </x:c>
      <x:c r="B164" s="10" t="n">
        <x:v>45658</x:v>
      </x:c>
      <x:c r="C164" t="inlineStr">
        <x:is>
          <x:t xml:space="preserve">S001</x:t>
        </x:is>
      </x:c>
      <x:c r="D164" t="inlineStr">
        <x:is>
          <x:t xml:space="preserve">Miami Design District</x:t>
        </x:is>
      </x:c>
      <x:c r="E164" t="inlineStr">
        <x:is>
          <x:t xml:space="preserve">Gabriel Samra</x:t>
        </x:is>
      </x:c>
      <x:c r="F164" t="inlineStr">
        <x:is>
          <x:t xml:space="preserve">GS001</x:t>
        </x:is>
      </x:c>
      <x:c r="G164" t="inlineStr">
        <x:is>
          <x:t xml:space="preserve">Keratin Treatment</x:t>
        </x:is>
      </x:c>
      <x:c r="H164" t="inlineStr">
        <x:is>
          <x:t xml:space="preserve">Hair Treatment</x:t>
        </x:is>
      </x:c>
      <x:c r="I164" t="inlineStr">
        <x:is>
          <x:t xml:space="preserve">Emma</x:t>
        </x:is>
      </x:c>
      <x:c r="J164" t="n">
        <x:v>74</x:v>
      </x:c>
      <x:c r="K164" t="n">
        <x:v>14.08</x:v>
      </x:c>
      <x:c r="L164" t="n">
        <x:v>31.51</x:v>
      </x:c>
      <x:c r="M164" t="n">
        <x:v>0</x:v>
      </x:c>
      <x:c r="N164" t="n">
        <x:v>2331.74</x:v>
      </x:c>
      <x:c r="O164" t="n">
        <x:v>1041.92</x:v>
      </x:c>
      <x:c r="P164" t="n">
        <x:v>1289.82</x:v>
      </x:c>
      <x:c r="Q164" t="n">
        <x:v>55.32</x:v>
      </x:c>
      <x:c r="R164" t="inlineStr">
        <x:is>
          <x:t xml:space="preserve">Cash</x:t>
        </x:is>
      </x:c>
      <x:c r="S164" t="inlineStr">
        <x:is>
          <x:t xml:space="preserve">New</x:t>
        </x:is>
      </x:c>
    </x:row>
    <x:row r="165">
      <x:c r="A165" t="inlineStr">
        <x:is>
          <x:t xml:space="preserve">T100165</x:t>
        </x:is>
      </x:c>
      <x:c r="B165" s="10" t="n">
        <x:v>45689</x:v>
      </x:c>
      <x:c r="C165" t="inlineStr">
        <x:is>
          <x:t xml:space="preserve">S001</x:t>
        </x:is>
      </x:c>
      <x:c r="D165" t="inlineStr">
        <x:is>
          <x:t xml:space="preserve">Miami Design District</x:t>
        </x:is>
      </x:c>
      <x:c r="E165" t="inlineStr">
        <x:is>
          <x:t xml:space="preserve">Gabriel Samra</x:t>
        </x:is>
      </x:c>
      <x:c r="F165" t="inlineStr">
        <x:is>
          <x:t xml:space="preserve">GS001</x:t>
        </x:is>
      </x:c>
      <x:c r="G165" t="inlineStr">
        <x:is>
          <x:t xml:space="preserve">Keratin Treatment</x:t>
        </x:is>
      </x:c>
      <x:c r="H165" t="inlineStr">
        <x:is>
          <x:t xml:space="preserve">Hair Treatment</x:t>
        </x:is>
      </x:c>
      <x:c r="I165" t="inlineStr">
        <x:is>
          <x:t xml:space="preserve">Sophia</x:t>
        </x:is>
      </x:c>
      <x:c r="J165" t="n">
        <x:v>86</x:v>
      </x:c>
      <x:c r="K165" t="n">
        <x:v>19.52</x:v>
      </x:c>
      <x:c r="L165" t="n">
        <x:v>53.32</x:v>
      </x:c>
      <x:c r="M165" t="n">
        <x:v>0</x:v>
      </x:c>
      <x:c r="N165" t="n">
        <x:v>4585.52</x:v>
      </x:c>
      <x:c r="O165" t="n">
        <x:v>1678.72</x:v>
      </x:c>
      <x:c r="P165" t="n">
        <x:v>2906.8</x:v>
      </x:c>
      <x:c r="Q165" t="n">
        <x:v>63.39</x:v>
      </x:c>
      <x:c r="R165" t="inlineStr">
        <x:is>
          <x:t xml:space="preserve">Credit Card</x:t>
        </x:is>
      </x:c>
      <x:c r="S165" t="inlineStr">
        <x:is>
          <x:t xml:space="preserve">Returning</x:t>
        </x:is>
      </x:c>
    </x:row>
    <x:row r="166">
      <x:c r="A166" t="inlineStr">
        <x:is>
          <x:t xml:space="preserve">T100166</x:t>
        </x:is>
      </x:c>
      <x:c r="B166" s="10" t="n">
        <x:v>45717</x:v>
      </x:c>
      <x:c r="C166" t="inlineStr">
        <x:is>
          <x:t xml:space="preserve">S001</x:t>
        </x:is>
      </x:c>
      <x:c r="D166" t="inlineStr">
        <x:is>
          <x:t xml:space="preserve">Miami Design District</x:t>
        </x:is>
      </x:c>
      <x:c r="E166" t="inlineStr">
        <x:is>
          <x:t xml:space="preserve">Gabriel Samra</x:t>
        </x:is>
      </x:c>
      <x:c r="F166" t="inlineStr">
        <x:is>
          <x:t xml:space="preserve">GS001</x:t>
        </x:is>
      </x:c>
      <x:c r="G166" t="inlineStr">
        <x:is>
          <x:t xml:space="preserve">Keratin Treatment</x:t>
        </x:is>
      </x:c>
      <x:c r="H166" t="inlineStr">
        <x:is>
          <x:t xml:space="preserve">Hair Treatment</x:t>
        </x:is>
      </x:c>
      <x:c r="I166" t="inlineStr">
        <x:is>
          <x:t xml:space="preserve">Emma</x:t>
        </x:is>
      </x:c>
      <x:c r="J166" t="n">
        <x:v>104</x:v>
      </x:c>
      <x:c r="K166" t="n">
        <x:v>31.01</x:v>
      </x:c>
      <x:c r="L166" t="n">
        <x:v>95.67</x:v>
      </x:c>
      <x:c r="M166" t="n">
        <x:v>0</x:v>
      </x:c>
      <x:c r="N166" t="n">
        <x:v>9949.68</x:v>
      </x:c>
      <x:c r="O166" t="n">
        <x:v>3225.04</x:v>
      </x:c>
      <x:c r="P166" t="n">
        <x:v>6724.64</x:v>
      </x:c>
      <x:c r="Q166" t="n">
        <x:v>67.59</x:v>
      </x:c>
      <x:c r="R166" t="inlineStr">
        <x:is>
          <x:t xml:space="preserve">Apple Pay</x:t>
        </x:is>
      </x:c>
      <x:c r="S166" t="inlineStr">
        <x:is>
          <x:t xml:space="preserve">New</x:t>
        </x:is>
      </x:c>
    </x:row>
    <x:row r="167">
      <x:c r="A167" t="inlineStr">
        <x:is>
          <x:t xml:space="preserve">T100167</x:t>
        </x:is>
      </x:c>
      <x:c r="B167" s="10" t="n">
        <x:v>45748</x:v>
      </x:c>
      <x:c r="C167" t="inlineStr">
        <x:is>
          <x:t xml:space="preserve">S001</x:t>
        </x:is>
      </x:c>
      <x:c r="D167" t="inlineStr">
        <x:is>
          <x:t xml:space="preserve">Miami Design District</x:t>
        </x:is>
      </x:c>
      <x:c r="E167" t="inlineStr">
        <x:is>
          <x:t xml:space="preserve">Gabriel Samra</x:t>
        </x:is>
      </x:c>
      <x:c r="F167" t="inlineStr">
        <x:is>
          <x:t xml:space="preserve">GS001</x:t>
        </x:is>
      </x:c>
      <x:c r="G167" t="inlineStr">
        <x:is>
          <x:t xml:space="preserve">Keratin Treatment</x:t>
        </x:is>
      </x:c>
      <x:c r="H167" t="inlineStr">
        <x:is>
          <x:t xml:space="preserve">Hair Treatment</x:t>
        </x:is>
      </x:c>
      <x:c r="I167" t="inlineStr">
        <x:is>
          <x:t xml:space="preserve">Lucas</x:t>
        </x:is>
      </x:c>
      <x:c r="J167" t="n">
        <x:v>115</x:v>
      </x:c>
      <x:c r="K167" t="n">
        <x:v>15.24</x:v>
      </x:c>
      <x:c r="L167" t="n">
        <x:v>42.55</x:v>
      </x:c>
      <x:c r="M167" t="n">
        <x:v>0</x:v>
      </x:c>
      <x:c r="N167" t="n">
        <x:v>4893.25</x:v>
      </x:c>
      <x:c r="O167" t="n">
        <x:v>1752.6</x:v>
      </x:c>
      <x:c r="P167" t="n">
        <x:v>3140.65</x:v>
      </x:c>
      <x:c r="Q167" t="n">
        <x:v>64.18000000000001</x:v>
      </x:c>
      <x:c r="R167" t="inlineStr">
        <x:is>
          <x:t xml:space="preserve">Credit Card</x:t>
        </x:is>
      </x:c>
      <x:c r="S167" t="inlineStr">
        <x:is>
          <x:t xml:space="preserve">New</x:t>
        </x:is>
      </x:c>
    </x:row>
    <x:row r="168">
      <x:c r="A168" t="inlineStr">
        <x:is>
          <x:t xml:space="preserve">T100168</x:t>
        </x:is>
      </x:c>
      <x:c r="B168" s="10" t="n">
        <x:v>45778</x:v>
      </x:c>
      <x:c r="C168" t="inlineStr">
        <x:is>
          <x:t xml:space="preserve">S001</x:t>
        </x:is>
      </x:c>
      <x:c r="D168" t="inlineStr">
        <x:is>
          <x:t xml:space="preserve">Miami Design District</x:t>
        </x:is>
      </x:c>
      <x:c r="E168" t="inlineStr">
        <x:is>
          <x:t xml:space="preserve">Gabriel Samra</x:t>
        </x:is>
      </x:c>
      <x:c r="F168" t="inlineStr">
        <x:is>
          <x:t xml:space="preserve">GS001</x:t>
        </x:is>
      </x:c>
      <x:c r="G168" t="inlineStr">
        <x:is>
          <x:t xml:space="preserve">Keratin Treatment</x:t>
        </x:is>
      </x:c>
      <x:c r="H168" t="inlineStr">
        <x:is>
          <x:t xml:space="preserve">Hair Treatment</x:t>
        </x:is>
      </x:c>
      <x:c r="I168" t="inlineStr">
        <x:is>
          <x:t xml:space="preserve">Sophia</x:t>
        </x:is>
      </x:c>
      <x:c r="J168" t="n">
        <x:v>119</x:v>
      </x:c>
      <x:c r="K168" t="n">
        <x:v>14.46</x:v>
      </x:c>
      <x:c r="L168" t="n">
        <x:v>31.87</x:v>
      </x:c>
      <x:c r="M168" t="n">
        <x:v>10</x:v>
      </x:c>
      <x:c r="N168" t="n">
        <x:v>3792.53</x:v>
      </x:c>
      <x:c r="O168" t="n">
        <x:v>1720.74</x:v>
      </x:c>
      <x:c r="P168" t="n">
        <x:v>2071.79</x:v>
      </x:c>
      <x:c r="Q168" t="n">
        <x:v>54.63</x:v>
      </x:c>
      <x:c r="R168" t="inlineStr">
        <x:is>
          <x:t xml:space="preserve">Apple Pay</x:t>
        </x:is>
      </x:c>
      <x:c r="S168" t="inlineStr">
        <x:is>
          <x:t xml:space="preserve">Returning</x:t>
        </x:is>
      </x:c>
    </x:row>
    <x:row r="169">
      <x:c r="A169" t="inlineStr">
        <x:is>
          <x:t xml:space="preserve">T100169</x:t>
        </x:is>
      </x:c>
      <x:c r="B169" s="10" t="n">
        <x:v>45809</x:v>
      </x:c>
      <x:c r="C169" t="inlineStr">
        <x:is>
          <x:t xml:space="preserve">S001</x:t>
        </x:is>
      </x:c>
      <x:c r="D169" t="inlineStr">
        <x:is>
          <x:t xml:space="preserve">Miami Design District</x:t>
        </x:is>
      </x:c>
      <x:c r="E169" t="inlineStr">
        <x:is>
          <x:t xml:space="preserve">Gabriel Samra</x:t>
        </x:is>
      </x:c>
      <x:c r="F169" t="inlineStr">
        <x:is>
          <x:t xml:space="preserve">GS001</x:t>
        </x:is>
      </x:c>
      <x:c r="G169" t="inlineStr">
        <x:is>
          <x:t xml:space="preserve">Keratin Treatment</x:t>
        </x:is>
      </x:c>
      <x:c r="H169" t="inlineStr">
        <x:is>
          <x:t xml:space="preserve">Hair Treatment</x:t>
        </x:is>
      </x:c>
      <x:c r="I169" t="inlineStr">
        <x:is>
          <x:t xml:space="preserve">Lucas</x:t>
        </x:is>
      </x:c>
      <x:c r="J169" t="n">
        <x:v>118</x:v>
      </x:c>
      <x:c r="K169" t="n">
        <x:v>18.01</x:v>
      </x:c>
      <x:c r="L169" t="n">
        <x:v>54.6</x:v>
      </x:c>
      <x:c r="M169" t="n">
        <x:v>5</x:v>
      </x:c>
      <x:c r="N169" t="n">
        <x:v>6442.8</x:v>
      </x:c>
      <x:c r="O169" t="n">
        <x:v>2125.18</x:v>
      </x:c>
      <x:c r="P169" t="n">
        <x:v>4317.62</x:v>
      </x:c>
      <x:c r="Q169" t="n">
        <x:v>67.01000000000001</x:v>
      </x:c>
      <x:c r="R169" t="inlineStr">
        <x:is>
          <x:t xml:space="preserve">Credit Card</x:t>
        </x:is>
      </x:c>
      <x:c r="S169" t="inlineStr">
        <x:is>
          <x:t xml:space="preserve">Returning</x:t>
        </x:is>
      </x:c>
    </x:row>
    <x:row r="170">
      <x:c r="A170" t="inlineStr">
        <x:is>
          <x:t xml:space="preserve">T100170</x:t>
        </x:is>
      </x:c>
      <x:c r="B170" s="10" t="n">
        <x:v>45292</x:v>
      </x:c>
      <x:c r="C170" t="inlineStr">
        <x:is>
          <x:t xml:space="preserve">S001</x:t>
        </x:is>
      </x:c>
      <x:c r="D170" t="inlineStr">
        <x:is>
          <x:t xml:space="preserve">Miami Design District</x:t>
        </x:is>
      </x:c>
      <x:c r="E170" t="inlineStr">
        <x:is>
          <x:t xml:space="preserve">Gabriel Samra</x:t>
        </x:is>
      </x:c>
      <x:c r="F170" t="inlineStr">
        <x:is>
          <x:t xml:space="preserve">GS002</x:t>
        </x:is>
      </x:c>
      <x:c r="G170" t="inlineStr">
        <x:is>
          <x:t xml:space="preserve">Hydration Shampoo</x:t>
        </x:is>
      </x:c>
      <x:c r="H170" t="inlineStr">
        <x:is>
          <x:t xml:space="preserve">Hair Care</x:t>
        </x:is>
      </x:c>
      <x:c r="I170" t="inlineStr">
        <x:is>
          <x:t xml:space="preserve">Lucas</x:t>
        </x:is>
      </x:c>
      <x:c r="J170" t="n">
        <x:v>24</x:v>
      </x:c>
      <x:c r="K170" t="n">
        <x:v>16.18</x:v>
      </x:c>
      <x:c r="L170" t="n">
        <x:v>50.39</x:v>
      </x:c>
      <x:c r="M170" t="n">
        <x:v>10</x:v>
      </x:c>
      <x:c r="N170" t="n">
        <x:v>1209.36</x:v>
      </x:c>
      <x:c r="O170" t="n">
        <x:v>388.32</x:v>
      </x:c>
      <x:c r="P170" t="n">
        <x:v>821.04</x:v>
      </x:c>
      <x:c r="Q170" t="n">
        <x:v>67.89</x:v>
      </x:c>
      <x:c r="R170" t="inlineStr">
        <x:is>
          <x:t xml:space="preserve">Cash</x:t>
        </x:is>
      </x:c>
      <x:c r="S170" t="inlineStr">
        <x:is>
          <x:t xml:space="preserve">Returning</x:t>
        </x:is>
      </x:c>
    </x:row>
    <x:row r="171">
      <x:c r="A171" t="inlineStr">
        <x:is>
          <x:t xml:space="preserve">T100171</x:t>
        </x:is>
      </x:c>
      <x:c r="B171" s="10" t="n">
        <x:v>45323</x:v>
      </x:c>
      <x:c r="C171" t="inlineStr">
        <x:is>
          <x:t xml:space="preserve">S001</x:t>
        </x:is>
      </x:c>
      <x:c r="D171" t="inlineStr">
        <x:is>
          <x:t xml:space="preserve">Miami Design District</x:t>
        </x:is>
      </x:c>
      <x:c r="E171" t="inlineStr">
        <x:is>
          <x:t xml:space="preserve">Gabriel Samra</x:t>
        </x:is>
      </x:c>
      <x:c r="F171" t="inlineStr">
        <x:is>
          <x:t xml:space="preserve">GS002</x:t>
        </x:is>
      </x:c>
      <x:c r="G171" t="inlineStr">
        <x:is>
          <x:t xml:space="preserve">Hydration Shampoo</x:t>
        </x:is>
      </x:c>
      <x:c r="H171" t="inlineStr">
        <x:is>
          <x:t xml:space="preserve">Hair Care</x:t>
        </x:is>
      </x:c>
      <x:c r="I171" t="inlineStr">
        <x:is>
          <x:t xml:space="preserve">Emma</x:t>
        </x:is>
      </x:c>
      <x:c r="J171" t="n">
        <x:v>30</x:v>
      </x:c>
      <x:c r="K171" t="n">
        <x:v>30.2</x:v>
      </x:c>
      <x:c r="L171" t="n">
        <x:v>70.87</x:v>
      </x:c>
      <x:c r="M171" t="n">
        <x:v>10</x:v>
      </x:c>
      <x:c r="N171" t="n">
        <x:v>2126.1</x:v>
      </x:c>
      <x:c r="O171" t="n">
        <x:v>906</x:v>
      </x:c>
      <x:c r="P171" t="n">
        <x:v>1220.1</x:v>
      </x:c>
      <x:c r="Q171" t="n">
        <x:v>57.39</x:v>
      </x:c>
      <x:c r="R171" t="inlineStr">
        <x:is>
          <x:t xml:space="preserve">Apple Pay</x:t>
        </x:is>
      </x:c>
      <x:c r="S171" t="inlineStr">
        <x:is>
          <x:t xml:space="preserve">New</x:t>
        </x:is>
      </x:c>
    </x:row>
    <x:row r="172">
      <x:c r="A172" t="inlineStr">
        <x:is>
          <x:t xml:space="preserve">T100172</x:t>
        </x:is>
      </x:c>
      <x:c r="B172" s="10" t="n">
        <x:v>45352</x:v>
      </x:c>
      <x:c r="C172" t="inlineStr">
        <x:is>
          <x:t xml:space="preserve">S001</x:t>
        </x:is>
      </x:c>
      <x:c r="D172" t="inlineStr">
        <x:is>
          <x:t xml:space="preserve">Miami Design District</x:t>
        </x:is>
      </x:c>
      <x:c r="E172" t="inlineStr">
        <x:is>
          <x:t xml:space="preserve">Gabriel Samra</x:t>
        </x:is>
      </x:c>
      <x:c r="F172" t="inlineStr">
        <x:is>
          <x:t xml:space="preserve">GS002</x:t>
        </x:is>
      </x:c>
      <x:c r="G172" t="inlineStr">
        <x:is>
          <x:t xml:space="preserve">Hydration Shampoo</x:t>
        </x:is>
      </x:c>
      <x:c r="H172" t="inlineStr">
        <x:is>
          <x:t xml:space="preserve">Hair Care</x:t>
        </x:is>
      </x:c>
      <x:c r="I172" t="inlineStr">
        <x:is>
          <x:t xml:space="preserve">Daniel</x:t>
        </x:is>
      </x:c>
      <x:c r="J172" t="n">
        <x:v>30</x:v>
      </x:c>
      <x:c r="K172" t="n">
        <x:v>34.26</x:v>
      </x:c>
      <x:c r="L172" t="n">
        <x:v>100.54</x:v>
      </x:c>
      <x:c r="M172" t="n">
        <x:v>0</x:v>
      </x:c>
      <x:c r="N172" t="n">
        <x:v>3016.2</x:v>
      </x:c>
      <x:c r="O172" t="n">
        <x:v>1027.8</x:v>
      </x:c>
      <x:c r="P172" t="n">
        <x:v>1988.4</x:v>
      </x:c>
      <x:c r="Q172" t="n">
        <x:v>65.92</x:v>
      </x:c>
      <x:c r="R172" t="inlineStr">
        <x:is>
          <x:t xml:space="preserve">Cash</x:t>
        </x:is>
      </x:c>
      <x:c r="S172" t="inlineStr">
        <x:is>
          <x:t xml:space="preserve">Returning</x:t>
        </x:is>
      </x:c>
    </x:row>
    <x:row r="173">
      <x:c r="A173" t="inlineStr">
        <x:is>
          <x:t xml:space="preserve">T100173</x:t>
        </x:is>
      </x:c>
      <x:c r="B173" s="10" t="n">
        <x:v>45383</x:v>
      </x:c>
      <x:c r="C173" t="inlineStr">
        <x:is>
          <x:t xml:space="preserve">S001</x:t>
        </x:is>
      </x:c>
      <x:c r="D173" t="inlineStr">
        <x:is>
          <x:t xml:space="preserve">Miami Design District</x:t>
        </x:is>
      </x:c>
      <x:c r="E173" t="inlineStr">
        <x:is>
          <x:t xml:space="preserve">Gabriel Samra</x:t>
        </x:is>
      </x:c>
      <x:c r="F173" t="inlineStr">
        <x:is>
          <x:t xml:space="preserve">GS002</x:t>
        </x:is>
      </x:c>
      <x:c r="G173" t="inlineStr">
        <x:is>
          <x:t xml:space="preserve">Hydration Shampoo</x:t>
        </x:is>
      </x:c>
      <x:c r="H173" t="inlineStr">
        <x:is>
          <x:t xml:space="preserve">Hair Care</x:t>
        </x:is>
      </x:c>
      <x:c r="I173" t="inlineStr">
        <x:is>
          <x:t xml:space="preserve">Olivia</x:t>
        </x:is>
      </x:c>
      <x:c r="J173" t="n">
        <x:v>24</x:v>
      </x:c>
      <x:c r="K173" t="n">
        <x:v>20.48</x:v>
      </x:c>
      <x:c r="L173" t="n">
        <x:v>67.8</x:v>
      </x:c>
      <x:c r="M173" t="n">
        <x:v>5</x:v>
      </x:c>
      <x:c r="N173" t="n">
        <x:v>1627.2</x:v>
      </x:c>
      <x:c r="O173" t="n">
        <x:v>491.52</x:v>
      </x:c>
      <x:c r="P173" t="n">
        <x:v>1135.68</x:v>
      </x:c>
      <x:c r="Q173" t="n">
        <x:v>69.79000000000001</x:v>
      </x:c>
      <x:c r="R173" t="inlineStr">
        <x:is>
          <x:t xml:space="preserve">Cash</x:t>
        </x:is>
      </x:c>
      <x:c r="S173" t="inlineStr">
        <x:is>
          <x:t xml:space="preserve">New</x:t>
        </x:is>
      </x:c>
    </x:row>
    <x:row r="174">
      <x:c r="A174" t="inlineStr">
        <x:is>
          <x:t xml:space="preserve">T100174</x:t>
        </x:is>
      </x:c>
      <x:c r="B174" s="10" t="n">
        <x:v>45413</x:v>
      </x:c>
      <x:c r="C174" t="inlineStr">
        <x:is>
          <x:t xml:space="preserve">S001</x:t>
        </x:is>
      </x:c>
      <x:c r="D174" t="inlineStr">
        <x:is>
          <x:t xml:space="preserve">Miami Design District</x:t>
        </x:is>
      </x:c>
      <x:c r="E174" t="inlineStr">
        <x:is>
          <x:t xml:space="preserve">Gabriel Samra</x:t>
        </x:is>
      </x:c>
      <x:c r="F174" t="inlineStr">
        <x:is>
          <x:t xml:space="preserve">GS002</x:t>
        </x:is>
      </x:c>
      <x:c r="G174" t="inlineStr">
        <x:is>
          <x:t xml:space="preserve">Hydration Shampoo</x:t>
        </x:is>
      </x:c>
      <x:c r="H174" t="inlineStr">
        <x:is>
          <x:t xml:space="preserve">Hair Care</x:t>
        </x:is>
      </x:c>
      <x:c r="I174" t="inlineStr">
        <x:is>
          <x:t xml:space="preserve">Lucas</x:t>
        </x:is>
      </x:c>
      <x:c r="J174" t="n">
        <x:v>30</x:v>
      </x:c>
      <x:c r="K174" t="n">
        <x:v>15.83</x:v>
      </x:c>
      <x:c r="L174" t="n">
        <x:v>44.84</x:v>
      </x:c>
      <x:c r="M174" t="n">
        <x:v>0</x:v>
      </x:c>
      <x:c r="N174" t="n">
        <x:v>1345.2</x:v>
      </x:c>
      <x:c r="O174" t="n">
        <x:v>474.9</x:v>
      </x:c>
      <x:c r="P174" t="n">
        <x:v>870.3</x:v>
      </x:c>
      <x:c r="Q174" t="n">
        <x:v>64.7</x:v>
      </x:c>
      <x:c r="R174" t="inlineStr">
        <x:is>
          <x:t xml:space="preserve">Apple Pay</x:t>
        </x:is>
      </x:c>
      <x:c r="S174" t="inlineStr">
        <x:is>
          <x:t xml:space="preserve">Returning</x:t>
        </x:is>
      </x:c>
    </x:row>
    <x:row r="175">
      <x:c r="A175" t="inlineStr">
        <x:is>
          <x:t xml:space="preserve">T100175</x:t>
        </x:is>
      </x:c>
      <x:c r="B175" s="10" t="n">
        <x:v>45444</x:v>
      </x:c>
      <x:c r="C175" t="inlineStr">
        <x:is>
          <x:t xml:space="preserve">S001</x:t>
        </x:is>
      </x:c>
      <x:c r="D175" t="inlineStr">
        <x:is>
          <x:t xml:space="preserve">Miami Design District</x:t>
        </x:is>
      </x:c>
      <x:c r="E175" t="inlineStr">
        <x:is>
          <x:t xml:space="preserve">Gabriel Samra</x:t>
        </x:is>
      </x:c>
      <x:c r="F175" t="inlineStr">
        <x:is>
          <x:t xml:space="preserve">GS002</x:t>
        </x:is>
      </x:c>
      <x:c r="G175" t="inlineStr">
        <x:is>
          <x:t xml:space="preserve">Hydration Shampoo</x:t>
        </x:is>
      </x:c>
      <x:c r="H175" t="inlineStr">
        <x:is>
          <x:t xml:space="preserve">Hair Care</x:t>
        </x:is>
      </x:c>
      <x:c r="I175" t="inlineStr">
        <x:is>
          <x:t xml:space="preserve">Lucas</x:t>
        </x:is>
      </x:c>
      <x:c r="J175" t="n">
        <x:v>35</x:v>
      </x:c>
      <x:c r="K175" t="n">
        <x:v>30.43</x:v>
      </x:c>
      <x:c r="L175" t="n">
        <x:v>87.09</x:v>
      </x:c>
      <x:c r="M175" t="n">
        <x:v>5</x:v>
      </x:c>
      <x:c r="N175" t="n">
        <x:v>3048.15</x:v>
      </x:c>
      <x:c r="O175" t="n">
        <x:v>1065.05</x:v>
      </x:c>
      <x:c r="P175" t="n">
        <x:v>1983.1</x:v>
      </x:c>
      <x:c r="Q175" t="n">
        <x:v>65.06</x:v>
      </x:c>
      <x:c r="R175" t="inlineStr">
        <x:is>
          <x:t xml:space="preserve">Credit Card</x:t>
        </x:is>
      </x:c>
      <x:c r="S175" t="inlineStr">
        <x:is>
          <x:t xml:space="preserve">New</x:t>
        </x:is>
      </x:c>
    </x:row>
    <x:row r="176">
      <x:c r="A176" t="inlineStr">
        <x:is>
          <x:t xml:space="preserve">T100176</x:t>
        </x:is>
      </x:c>
      <x:c r="B176" s="10" t="n">
        <x:v>45474</x:v>
      </x:c>
      <x:c r="C176" t="inlineStr">
        <x:is>
          <x:t xml:space="preserve">S001</x:t>
        </x:is>
      </x:c>
      <x:c r="D176" t="inlineStr">
        <x:is>
          <x:t xml:space="preserve">Miami Design District</x:t>
        </x:is>
      </x:c>
      <x:c r="E176" t="inlineStr">
        <x:is>
          <x:t xml:space="preserve">Gabriel Samra</x:t>
        </x:is>
      </x:c>
      <x:c r="F176" t="inlineStr">
        <x:is>
          <x:t xml:space="preserve">GS002</x:t>
        </x:is>
      </x:c>
      <x:c r="G176" t="inlineStr">
        <x:is>
          <x:t xml:space="preserve">Hydration Shampoo</x:t>
        </x:is>
      </x:c>
      <x:c r="H176" t="inlineStr">
        <x:is>
          <x:t xml:space="preserve">Hair Care</x:t>
        </x:is>
      </x:c>
      <x:c r="I176" t="inlineStr">
        <x:is>
          <x:t xml:space="preserve">Olivia</x:t>
        </x:is>
      </x:c>
      <x:c r="J176" t="n">
        <x:v>32</x:v>
      </x:c>
      <x:c r="K176" t="n">
        <x:v>31.58</x:v>
      </x:c>
      <x:c r="L176" t="n">
        <x:v>97.61</x:v>
      </x:c>
      <x:c r="M176" t="n">
        <x:v>0</x:v>
      </x:c>
      <x:c r="N176" t="n">
        <x:v>3123.52</x:v>
      </x:c>
      <x:c r="O176" t="n">
        <x:v>1010.56</x:v>
      </x:c>
      <x:c r="P176" t="n">
        <x:v>2112.96</x:v>
      </x:c>
      <x:c r="Q176" t="n">
        <x:v>67.65000000000001</x:v>
      </x:c>
      <x:c r="R176" t="inlineStr">
        <x:is>
          <x:t xml:space="preserve">Apple Pay</x:t>
        </x:is>
      </x:c>
      <x:c r="S176" t="inlineStr">
        <x:is>
          <x:t xml:space="preserve">New</x:t>
        </x:is>
      </x:c>
    </x:row>
    <x:row r="177">
      <x:c r="A177" t="inlineStr">
        <x:is>
          <x:t xml:space="preserve">T100177</x:t>
        </x:is>
      </x:c>
      <x:c r="B177" s="10" t="n">
        <x:v>45505</x:v>
      </x:c>
      <x:c r="C177" t="inlineStr">
        <x:is>
          <x:t xml:space="preserve">S001</x:t>
        </x:is>
      </x:c>
      <x:c r="D177" t="inlineStr">
        <x:is>
          <x:t xml:space="preserve">Miami Design District</x:t>
        </x:is>
      </x:c>
      <x:c r="E177" t="inlineStr">
        <x:is>
          <x:t xml:space="preserve">Gabriel Samra</x:t>
        </x:is>
      </x:c>
      <x:c r="F177" t="inlineStr">
        <x:is>
          <x:t xml:space="preserve">GS002</x:t>
        </x:is>
      </x:c>
      <x:c r="G177" t="inlineStr">
        <x:is>
          <x:t xml:space="preserve">Hydration Shampoo</x:t>
        </x:is>
      </x:c>
      <x:c r="H177" t="inlineStr">
        <x:is>
          <x:t xml:space="preserve">Hair Care</x:t>
        </x:is>
      </x:c>
      <x:c r="I177" t="inlineStr">
        <x:is>
          <x:t xml:space="preserve">Sophia</x:t>
        </x:is>
      </x:c>
      <x:c r="J177" t="n">
        <x:v>28</x:v>
      </x:c>
      <x:c r="K177" t="n">
        <x:v>26.01</x:v>
      </x:c>
      <x:c r="L177" t="n">
        <x:v>87.40000000000001</x:v>
      </x:c>
      <x:c r="M177" t="n">
        <x:v>0</x:v>
      </x:c>
      <x:c r="N177" t="n">
        <x:v>2447.2</x:v>
      </x:c>
      <x:c r="O177" t="n">
        <x:v>728.28</x:v>
      </x:c>
      <x:c r="P177" t="n">
        <x:v>1718.92</x:v>
      </x:c>
      <x:c r="Q177" t="n">
        <x:v>70.23999999999999</x:v>
      </x:c>
      <x:c r="R177" t="inlineStr">
        <x:is>
          <x:t xml:space="preserve">Credit Card</x:t>
        </x:is>
      </x:c>
      <x:c r="S177" t="inlineStr">
        <x:is>
          <x:t xml:space="preserve">New</x:t>
        </x:is>
      </x:c>
    </x:row>
    <x:row r="178">
      <x:c r="A178" t="inlineStr">
        <x:is>
          <x:t xml:space="preserve">T100178</x:t>
        </x:is>
      </x:c>
      <x:c r="B178" s="10" t="n">
        <x:v>45536</x:v>
      </x:c>
      <x:c r="C178" t="inlineStr">
        <x:is>
          <x:t xml:space="preserve">S001</x:t>
        </x:is>
      </x:c>
      <x:c r="D178" t="inlineStr">
        <x:is>
          <x:t xml:space="preserve">Miami Design District</x:t>
        </x:is>
      </x:c>
      <x:c r="E178" t="inlineStr">
        <x:is>
          <x:t xml:space="preserve">Gabriel Samra</x:t>
        </x:is>
      </x:c>
      <x:c r="F178" t="inlineStr">
        <x:is>
          <x:t xml:space="preserve">GS002</x:t>
        </x:is>
      </x:c>
      <x:c r="G178" t="inlineStr">
        <x:is>
          <x:t xml:space="preserve">Hydration Shampoo</x:t>
        </x:is>
      </x:c>
      <x:c r="H178" t="inlineStr">
        <x:is>
          <x:t xml:space="preserve">Hair Care</x:t>
        </x:is>
      </x:c>
      <x:c r="I178" t="inlineStr">
        <x:is>
          <x:t xml:space="preserve">Lucas</x:t>
        </x:is>
      </x:c>
      <x:c r="J178" t="n">
        <x:v>32</x:v>
      </x:c>
      <x:c r="K178" t="n">
        <x:v>24.32</x:v>
      </x:c>
      <x:c r="L178" t="n">
        <x:v>71.62</x:v>
      </x:c>
      <x:c r="M178" t="n">
        <x:v>10</x:v>
      </x:c>
      <x:c r="N178" t="n">
        <x:v>2291.84</x:v>
      </x:c>
      <x:c r="O178" t="n">
        <x:v>778.24</x:v>
      </x:c>
      <x:c r="P178" t="n">
        <x:v>1513.6</x:v>
      </x:c>
      <x:c r="Q178" t="n">
        <x:v>66.04000000000001</x:v>
      </x:c>
      <x:c r="R178" t="inlineStr">
        <x:is>
          <x:t xml:space="preserve">Apple Pay</x:t>
        </x:is>
      </x:c>
      <x:c r="S178" t="inlineStr">
        <x:is>
          <x:t xml:space="preserve">New</x:t>
        </x:is>
      </x:c>
    </x:row>
    <x:row r="179">
      <x:c r="A179" t="inlineStr">
        <x:is>
          <x:t xml:space="preserve">T100179</x:t>
        </x:is>
      </x:c>
      <x:c r="B179" s="10" t="n">
        <x:v>45566</x:v>
      </x:c>
      <x:c r="C179" t="inlineStr">
        <x:is>
          <x:t xml:space="preserve">S001</x:t>
        </x:is>
      </x:c>
      <x:c r="D179" t="inlineStr">
        <x:is>
          <x:t xml:space="preserve">Miami Design District</x:t>
        </x:is>
      </x:c>
      <x:c r="E179" t="inlineStr">
        <x:is>
          <x:t xml:space="preserve">Gabriel Samra</x:t>
        </x:is>
      </x:c>
      <x:c r="F179" t="inlineStr">
        <x:is>
          <x:t xml:space="preserve">GS002</x:t>
        </x:is>
      </x:c>
      <x:c r="G179" t="inlineStr">
        <x:is>
          <x:t xml:space="preserve">Hydration Shampoo</x:t>
        </x:is>
      </x:c>
      <x:c r="H179" t="inlineStr">
        <x:is>
          <x:t xml:space="preserve">Hair Care</x:t>
        </x:is>
      </x:c>
      <x:c r="I179" t="inlineStr">
        <x:is>
          <x:t xml:space="preserve">Olivia</x:t>
        </x:is>
      </x:c>
      <x:c r="J179" t="n">
        <x:v>29</x:v>
      </x:c>
      <x:c r="K179" t="n">
        <x:v>18.5</x:v>
      </x:c>
      <x:c r="L179" t="n">
        <x:v>46.7</x:v>
      </x:c>
      <x:c r="M179" t="n">
        <x:v>0</x:v>
      </x:c>
      <x:c r="N179" t="n">
        <x:v>1354.3</x:v>
      </x:c>
      <x:c r="O179" t="n">
        <x:v>536.5</x:v>
      </x:c>
      <x:c r="P179" t="n">
        <x:v>817.8</x:v>
      </x:c>
      <x:c r="Q179" t="n">
        <x:v>60.39</x:v>
      </x:c>
      <x:c r="R179" t="inlineStr">
        <x:is>
          <x:t xml:space="preserve">Cash</x:t>
        </x:is>
      </x:c>
      <x:c r="S179" t="inlineStr">
        <x:is>
          <x:t xml:space="preserve">Returning</x:t>
        </x:is>
      </x:c>
    </x:row>
    <x:row r="180">
      <x:c r="A180" t="inlineStr">
        <x:is>
          <x:t xml:space="preserve">T100180</x:t>
        </x:is>
      </x:c>
      <x:c r="B180" s="10" t="n">
        <x:v>45597</x:v>
      </x:c>
      <x:c r="C180" t="inlineStr">
        <x:is>
          <x:t xml:space="preserve">S001</x:t>
        </x:is>
      </x:c>
      <x:c r="D180" t="inlineStr">
        <x:is>
          <x:t xml:space="preserve">Miami Design District</x:t>
        </x:is>
      </x:c>
      <x:c r="E180" t="inlineStr">
        <x:is>
          <x:t xml:space="preserve">Gabriel Samra</x:t>
        </x:is>
      </x:c>
      <x:c r="F180" t="inlineStr">
        <x:is>
          <x:t xml:space="preserve">GS002</x:t>
        </x:is>
      </x:c>
      <x:c r="G180" t="inlineStr">
        <x:is>
          <x:t xml:space="preserve">Hydration Shampoo</x:t>
        </x:is>
      </x:c>
      <x:c r="H180" t="inlineStr">
        <x:is>
          <x:t xml:space="preserve">Hair Care</x:t>
        </x:is>
      </x:c>
      <x:c r="I180" t="inlineStr">
        <x:is>
          <x:t xml:space="preserve">Sophia</x:t>
        </x:is>
      </x:c>
      <x:c r="J180" t="n">
        <x:v>42</x:v>
      </x:c>
      <x:c r="K180" t="n">
        <x:v>12.92</x:v>
      </x:c>
      <x:c r="L180" t="n">
        <x:v>37.32</x:v>
      </x:c>
      <x:c r="M180" t="n">
        <x:v>0</x:v>
      </x:c>
      <x:c r="N180" t="n">
        <x:v>1567.44</x:v>
      </x:c>
      <x:c r="O180" t="n">
        <x:v>542.64</x:v>
      </x:c>
      <x:c r="P180" t="n">
        <x:v>1024.8</x:v>
      </x:c>
      <x:c r="Q180" t="n">
        <x:v>65.38</x:v>
      </x:c>
      <x:c r="R180" t="inlineStr">
        <x:is>
          <x:t xml:space="preserve">Credit Card</x:t>
        </x:is>
      </x:c>
      <x:c r="S180" t="inlineStr">
        <x:is>
          <x:t xml:space="preserve">Returning</x:t>
        </x:is>
      </x:c>
    </x:row>
    <x:row r="181">
      <x:c r="A181" t="inlineStr">
        <x:is>
          <x:t xml:space="preserve">T100181</x:t>
        </x:is>
      </x:c>
      <x:c r="B181" s="10" t="n">
        <x:v>45627</x:v>
      </x:c>
      <x:c r="C181" t="inlineStr">
        <x:is>
          <x:t xml:space="preserve">S001</x:t>
        </x:is>
      </x:c>
      <x:c r="D181" t="inlineStr">
        <x:is>
          <x:t xml:space="preserve">Miami Design District</x:t>
        </x:is>
      </x:c>
      <x:c r="E181" t="inlineStr">
        <x:is>
          <x:t xml:space="preserve">Gabriel Samra</x:t>
        </x:is>
      </x:c>
      <x:c r="F181" t="inlineStr">
        <x:is>
          <x:t xml:space="preserve">GS002</x:t>
        </x:is>
      </x:c>
      <x:c r="G181" t="inlineStr">
        <x:is>
          <x:t xml:space="preserve">Hydration Shampoo</x:t>
        </x:is>
      </x:c>
      <x:c r="H181" t="inlineStr">
        <x:is>
          <x:t xml:space="preserve">Hair Care</x:t>
        </x:is>
      </x:c>
      <x:c r="I181" t="inlineStr">
        <x:is>
          <x:t xml:space="preserve">Emma</x:t>
        </x:is>
      </x:c>
      <x:c r="J181" t="n">
        <x:v>39</x:v>
      </x:c>
      <x:c r="K181" t="n">
        <x:v>28.93</x:v>
      </x:c>
      <x:c r="L181" t="n">
        <x:v>59.68</x:v>
      </x:c>
      <x:c r="M181" t="n">
        <x:v>0</x:v>
      </x:c>
      <x:c r="N181" t="n">
        <x:v>2327.52</x:v>
      </x:c>
      <x:c r="O181" t="n">
        <x:v>1128.27</x:v>
      </x:c>
      <x:c r="P181" t="n">
        <x:v>1199.25</x:v>
      </x:c>
      <x:c r="Q181" t="n">
        <x:v>51.52</x:v>
      </x:c>
      <x:c r="R181" t="inlineStr">
        <x:is>
          <x:t xml:space="preserve">Cash</x:t>
        </x:is>
      </x:c>
      <x:c r="S181" t="inlineStr">
        <x:is>
          <x:t xml:space="preserve">Returning</x:t>
        </x:is>
      </x:c>
    </x:row>
    <x:row r="182">
      <x:c r="A182" t="inlineStr">
        <x:is>
          <x:t xml:space="preserve">T100182</x:t>
        </x:is>
      </x:c>
      <x:c r="B182" s="10" t="n">
        <x:v>45658</x:v>
      </x:c>
      <x:c r="C182" t="inlineStr">
        <x:is>
          <x:t xml:space="preserve">S001</x:t>
        </x:is>
      </x:c>
      <x:c r="D182" t="inlineStr">
        <x:is>
          <x:t xml:space="preserve">Miami Design District</x:t>
        </x:is>
      </x:c>
      <x:c r="E182" t="inlineStr">
        <x:is>
          <x:t xml:space="preserve">Gabriel Samra</x:t>
        </x:is>
      </x:c>
      <x:c r="F182" t="inlineStr">
        <x:is>
          <x:t xml:space="preserve">GS002</x:t>
        </x:is>
      </x:c>
      <x:c r="G182" t="inlineStr">
        <x:is>
          <x:t xml:space="preserve">Hydration Shampoo</x:t>
        </x:is>
      </x:c>
      <x:c r="H182" t="inlineStr">
        <x:is>
          <x:t xml:space="preserve">Hair Care</x:t>
        </x:is>
      </x:c>
      <x:c r="I182" t="inlineStr">
        <x:is>
          <x:t xml:space="preserve">Emma</x:t>
        </x:is>
      </x:c>
      <x:c r="J182" t="n">
        <x:v>34</x:v>
      </x:c>
      <x:c r="K182" t="n">
        <x:v>27.33</x:v>
      </x:c>
      <x:c r="L182" t="n">
        <x:v>90.45999999999999</x:v>
      </x:c>
      <x:c r="M182" t="n">
        <x:v>5</x:v>
      </x:c>
      <x:c r="N182" t="n">
        <x:v>3075.64</x:v>
      </x:c>
      <x:c r="O182" t="n">
        <x:v>929.22</x:v>
      </x:c>
      <x:c r="P182" t="n">
        <x:v>2146.42</x:v>
      </x:c>
      <x:c r="Q182" t="n">
        <x:v>69.79000000000001</x:v>
      </x:c>
      <x:c r="R182" t="inlineStr">
        <x:is>
          <x:t xml:space="preserve">Credit Card</x:t>
        </x:is>
      </x:c>
      <x:c r="S182" t="inlineStr">
        <x:is>
          <x:t xml:space="preserve">New</x:t>
        </x:is>
      </x:c>
    </x:row>
    <x:row r="183">
      <x:c r="A183" t="inlineStr">
        <x:is>
          <x:t xml:space="preserve">T100183</x:t>
        </x:is>
      </x:c>
      <x:c r="B183" s="10" t="n">
        <x:v>45689</x:v>
      </x:c>
      <x:c r="C183" t="inlineStr">
        <x:is>
          <x:t xml:space="preserve">S001</x:t>
        </x:is>
      </x:c>
      <x:c r="D183" t="inlineStr">
        <x:is>
          <x:t xml:space="preserve">Miami Design District</x:t>
        </x:is>
      </x:c>
      <x:c r="E183" t="inlineStr">
        <x:is>
          <x:t xml:space="preserve">Gabriel Samra</x:t>
        </x:is>
      </x:c>
      <x:c r="F183" t="inlineStr">
        <x:is>
          <x:t xml:space="preserve">GS002</x:t>
        </x:is>
      </x:c>
      <x:c r="G183" t="inlineStr">
        <x:is>
          <x:t xml:space="preserve">Hydration Shampoo</x:t>
        </x:is>
      </x:c>
      <x:c r="H183" t="inlineStr">
        <x:is>
          <x:t xml:space="preserve">Hair Care</x:t>
        </x:is>
      </x:c>
      <x:c r="I183" t="inlineStr">
        <x:is>
          <x:t xml:space="preserve">Daniel</x:t>
        </x:is>
      </x:c>
      <x:c r="J183" t="n">
        <x:v>35</x:v>
      </x:c>
      <x:c r="K183" t="n">
        <x:v>28.46</x:v>
      </x:c>
      <x:c r="L183" t="n">
        <x:v>68.79000000000001</x:v>
      </x:c>
      <x:c r="M183" t="n">
        <x:v>0</x:v>
      </x:c>
      <x:c r="N183" t="n">
        <x:v>2407.65</x:v>
      </x:c>
      <x:c r="O183" t="n">
        <x:v>996.1</x:v>
      </x:c>
      <x:c r="P183" t="n">
        <x:v>1411.55</x:v>
      </x:c>
      <x:c r="Q183" t="n">
        <x:v>58.63</x:v>
      </x:c>
      <x:c r="R183" t="inlineStr">
        <x:is>
          <x:t xml:space="preserve">Apple Pay</x:t>
        </x:is>
      </x:c>
      <x:c r="S183" t="inlineStr">
        <x:is>
          <x:t xml:space="preserve">New</x:t>
        </x:is>
      </x:c>
    </x:row>
    <x:row r="184">
      <x:c r="A184" t="inlineStr">
        <x:is>
          <x:t xml:space="preserve">T100184</x:t>
        </x:is>
      </x:c>
      <x:c r="B184" s="10" t="n">
        <x:v>45717</x:v>
      </x:c>
      <x:c r="C184" t="inlineStr">
        <x:is>
          <x:t xml:space="preserve">S001</x:t>
        </x:is>
      </x:c>
      <x:c r="D184" t="inlineStr">
        <x:is>
          <x:t xml:space="preserve">Miami Design District</x:t>
        </x:is>
      </x:c>
      <x:c r="E184" t="inlineStr">
        <x:is>
          <x:t xml:space="preserve">Gabriel Samra</x:t>
        </x:is>
      </x:c>
      <x:c r="F184" t="inlineStr">
        <x:is>
          <x:t xml:space="preserve">GS002</x:t>
        </x:is>
      </x:c>
      <x:c r="G184" t="inlineStr">
        <x:is>
          <x:t xml:space="preserve">Hydration Shampoo</x:t>
        </x:is>
      </x:c>
      <x:c r="H184" t="inlineStr">
        <x:is>
          <x:t xml:space="preserve">Hair Care</x:t>
        </x:is>
      </x:c>
      <x:c r="I184" t="inlineStr">
        <x:is>
          <x:t xml:space="preserve">Emma</x:t>
        </x:is>
      </x:c>
      <x:c r="J184" t="n">
        <x:v>39</x:v>
      </x:c>
      <x:c r="K184" t="n">
        <x:v>32.81</x:v>
      </x:c>
      <x:c r="L184" t="n">
        <x:v>77.02</x:v>
      </x:c>
      <x:c r="M184" t="n">
        <x:v>10</x:v>
      </x:c>
      <x:c r="N184" t="n">
        <x:v>3003.78</x:v>
      </x:c>
      <x:c r="O184" t="n">
        <x:v>1279.59</x:v>
      </x:c>
      <x:c r="P184" t="n">
        <x:v>1724.19</x:v>
      </x:c>
      <x:c r="Q184" t="n">
        <x:v>57.4</x:v>
      </x:c>
      <x:c r="R184" t="inlineStr">
        <x:is>
          <x:t xml:space="preserve">Apple Pay</x:t>
        </x:is>
      </x:c>
      <x:c r="S184" t="inlineStr">
        <x:is>
          <x:t xml:space="preserve">New</x:t>
        </x:is>
      </x:c>
    </x:row>
    <x:row r="185">
      <x:c r="A185" t="inlineStr">
        <x:is>
          <x:t xml:space="preserve">T100185</x:t>
        </x:is>
      </x:c>
      <x:c r="B185" s="10" t="n">
        <x:v>45748</x:v>
      </x:c>
      <x:c r="C185" t="inlineStr">
        <x:is>
          <x:t xml:space="preserve">S001</x:t>
        </x:is>
      </x:c>
      <x:c r="D185" t="inlineStr">
        <x:is>
          <x:t xml:space="preserve">Miami Design District</x:t>
        </x:is>
      </x:c>
      <x:c r="E185" t="inlineStr">
        <x:is>
          <x:t xml:space="preserve">Gabriel Samra</x:t>
        </x:is>
      </x:c>
      <x:c r="F185" t="inlineStr">
        <x:is>
          <x:t xml:space="preserve">GS002</x:t>
        </x:is>
      </x:c>
      <x:c r="G185" t="inlineStr">
        <x:is>
          <x:t xml:space="preserve">Hydration Shampoo</x:t>
        </x:is>
      </x:c>
      <x:c r="H185" t="inlineStr">
        <x:is>
          <x:t xml:space="preserve">Hair Care</x:t>
        </x:is>
      </x:c>
      <x:c r="I185" t="inlineStr">
        <x:is>
          <x:t xml:space="preserve">Emma</x:t>
        </x:is>
      </x:c>
      <x:c r="J185" t="n">
        <x:v>33</x:v>
      </x:c>
      <x:c r="K185" t="n">
        <x:v>22.15</x:v>
      </x:c>
      <x:c r="L185" t="n">
        <x:v>63.7</x:v>
      </x:c>
      <x:c r="M185" t="n">
        <x:v>5</x:v>
      </x:c>
      <x:c r="N185" t="n">
        <x:v>2102.1</x:v>
      </x:c>
      <x:c r="O185" t="n">
        <x:v>730.95</x:v>
      </x:c>
      <x:c r="P185" t="n">
        <x:v>1371.15</x:v>
      </x:c>
      <x:c r="Q185" t="n">
        <x:v>65.23</x:v>
      </x:c>
      <x:c r="R185" t="inlineStr">
        <x:is>
          <x:t xml:space="preserve">Apple Pay</x:t>
        </x:is>
      </x:c>
      <x:c r="S185" t="inlineStr">
        <x:is>
          <x:t xml:space="preserve">New</x:t>
        </x:is>
      </x:c>
    </x:row>
    <x:row r="186">
      <x:c r="A186" t="inlineStr">
        <x:is>
          <x:t xml:space="preserve">T100186</x:t>
        </x:is>
      </x:c>
      <x:c r="B186" s="10" t="n">
        <x:v>45778</x:v>
      </x:c>
      <x:c r="C186" t="inlineStr">
        <x:is>
          <x:t xml:space="preserve">S001</x:t>
        </x:is>
      </x:c>
      <x:c r="D186" t="inlineStr">
        <x:is>
          <x:t xml:space="preserve">Miami Design District</x:t>
        </x:is>
      </x:c>
      <x:c r="E186" t="inlineStr">
        <x:is>
          <x:t xml:space="preserve">Gabriel Samra</x:t>
        </x:is>
      </x:c>
      <x:c r="F186" t="inlineStr">
        <x:is>
          <x:t xml:space="preserve">GS002</x:t>
        </x:is>
      </x:c>
      <x:c r="G186" t="inlineStr">
        <x:is>
          <x:t xml:space="preserve">Hydration Shampoo</x:t>
        </x:is>
      </x:c>
      <x:c r="H186" t="inlineStr">
        <x:is>
          <x:t xml:space="preserve">Hair Care</x:t>
        </x:is>
      </x:c>
      <x:c r="I186" t="inlineStr">
        <x:is>
          <x:t xml:space="preserve">Emma</x:t>
        </x:is>
      </x:c>
      <x:c r="J186" t="n">
        <x:v>31</x:v>
      </x:c>
      <x:c r="K186" t="n">
        <x:v>30.2</x:v>
      </x:c>
      <x:c r="L186" t="n">
        <x:v>87.95999999999999</x:v>
      </x:c>
      <x:c r="M186" t="n">
        <x:v>0</x:v>
      </x:c>
      <x:c r="N186" t="n">
        <x:v>2726.76</x:v>
      </x:c>
      <x:c r="O186" t="n">
        <x:v>936.2</x:v>
      </x:c>
      <x:c r="P186" t="n">
        <x:v>1790.56</x:v>
      </x:c>
      <x:c r="Q186" t="n">
        <x:v>65.67</x:v>
      </x:c>
      <x:c r="R186" t="inlineStr">
        <x:is>
          <x:t xml:space="preserve">Credit Card</x:t>
        </x:is>
      </x:c>
      <x:c r="S186" t="inlineStr">
        <x:is>
          <x:t xml:space="preserve">New</x:t>
        </x:is>
      </x:c>
    </x:row>
    <x:row r="187">
      <x:c r="A187" t="inlineStr">
        <x:is>
          <x:t xml:space="preserve">T100187</x:t>
        </x:is>
      </x:c>
      <x:c r="B187" s="10" t="n">
        <x:v>45809</x:v>
      </x:c>
      <x:c r="C187" t="inlineStr">
        <x:is>
          <x:t xml:space="preserve">S001</x:t>
        </x:is>
      </x:c>
      <x:c r="D187" t="inlineStr">
        <x:is>
          <x:t xml:space="preserve">Miami Design District</x:t>
        </x:is>
      </x:c>
      <x:c r="E187" t="inlineStr">
        <x:is>
          <x:t xml:space="preserve">Gabriel Samra</x:t>
        </x:is>
      </x:c>
      <x:c r="F187" t="inlineStr">
        <x:is>
          <x:t xml:space="preserve">GS002</x:t>
        </x:is>
      </x:c>
      <x:c r="G187" t="inlineStr">
        <x:is>
          <x:t xml:space="preserve">Hydration Shampoo</x:t>
        </x:is>
      </x:c>
      <x:c r="H187" t="inlineStr">
        <x:is>
          <x:t xml:space="preserve">Hair Care</x:t>
        </x:is>
      </x:c>
      <x:c r="I187" t="inlineStr">
        <x:is>
          <x:t xml:space="preserve">Daniel</x:t>
        </x:is>
      </x:c>
      <x:c r="J187" t="n">
        <x:v>42</x:v>
      </x:c>
      <x:c r="K187" t="n">
        <x:v>21.26</x:v>
      </x:c>
      <x:c r="L187" t="n">
        <x:v>63.86</x:v>
      </x:c>
      <x:c r="M187" t="n">
        <x:v>10</x:v>
      </x:c>
      <x:c r="N187" t="n">
        <x:v>2682.12</x:v>
      </x:c>
      <x:c r="O187" t="n">
        <x:v>892.92</x:v>
      </x:c>
      <x:c r="P187" t="n">
        <x:v>1789.2</x:v>
      </x:c>
      <x:c r="Q187" t="n">
        <x:v>66.70999999999999</x:v>
      </x:c>
      <x:c r="R187" t="inlineStr">
        <x:is>
          <x:t xml:space="preserve">Cash</x:t>
        </x:is>
      </x:c>
      <x:c r="S187" t="inlineStr">
        <x:is>
          <x:t xml:space="preserve">Returning</x:t>
        </x:is>
      </x:c>
    </x:row>
    <x:row r="188">
      <x:c r="A188" t="inlineStr">
        <x:is>
          <x:t xml:space="preserve">T100188</x:t>
        </x:is>
      </x:c>
      <x:c r="B188" s="10" t="n">
        <x:v>45292</x:v>
      </x:c>
      <x:c r="C188" t="inlineStr">
        <x:is>
          <x:t xml:space="preserve">S001</x:t>
        </x:is>
      </x:c>
      <x:c r="D188" t="inlineStr">
        <x:is>
          <x:t xml:space="preserve">Miami Design District</x:t>
        </x:is>
      </x:c>
      <x:c r="E188" t="inlineStr">
        <x:is>
          <x:t xml:space="preserve">Gabriel Samra</x:t>
        </x:is>
      </x:c>
      <x:c r="F188" t="inlineStr">
        <x:is>
          <x:t xml:space="preserve">GS003</x:t>
        </x:is>
      </x:c>
      <x:c r="G188" t="inlineStr">
        <x:is>
          <x:t xml:space="preserve">Repair Mask</x:t>
        </x:is>
      </x:c>
      <x:c r="H188" t="inlineStr">
        <x:is>
          <x:t xml:space="preserve">Hair Care</x:t>
        </x:is>
      </x:c>
      <x:c r="I188" t="inlineStr">
        <x:is>
          <x:t xml:space="preserve">Emma</x:t>
        </x:is>
      </x:c>
      <x:c r="J188" t="n">
        <x:v>89</x:v>
      </x:c>
      <x:c r="K188" t="n">
        <x:v>16.64</x:v>
      </x:c>
      <x:c r="L188" t="n">
        <x:v>48.7</x:v>
      </x:c>
      <x:c r="M188" t="n">
        <x:v>0</x:v>
      </x:c>
      <x:c r="N188" t="n">
        <x:v>4334.3</x:v>
      </x:c>
      <x:c r="O188" t="n">
        <x:v>1480.96</x:v>
      </x:c>
      <x:c r="P188" t="n">
        <x:v>2853.34</x:v>
      </x:c>
      <x:c r="Q188" t="n">
        <x:v>65.83</x:v>
      </x:c>
      <x:c r="R188" t="inlineStr">
        <x:is>
          <x:t xml:space="preserve">Apple Pay</x:t>
        </x:is>
      </x:c>
      <x:c r="S188" t="inlineStr">
        <x:is>
          <x:t xml:space="preserve">Returning</x:t>
        </x:is>
      </x:c>
    </x:row>
    <x:row r="189">
      <x:c r="A189" t="inlineStr">
        <x:is>
          <x:t xml:space="preserve">T100189</x:t>
        </x:is>
      </x:c>
      <x:c r="B189" s="10" t="n">
        <x:v>45323</x:v>
      </x:c>
      <x:c r="C189" t="inlineStr">
        <x:is>
          <x:t xml:space="preserve">S001</x:t>
        </x:is>
      </x:c>
      <x:c r="D189" t="inlineStr">
        <x:is>
          <x:t xml:space="preserve">Miami Design District</x:t>
        </x:is>
      </x:c>
      <x:c r="E189" t="inlineStr">
        <x:is>
          <x:t xml:space="preserve">Gabriel Samra</x:t>
        </x:is>
      </x:c>
      <x:c r="F189" t="inlineStr">
        <x:is>
          <x:t xml:space="preserve">GS003</x:t>
        </x:is>
      </x:c>
      <x:c r="G189" t="inlineStr">
        <x:is>
          <x:t xml:space="preserve">Repair Mask</x:t>
        </x:is>
      </x:c>
      <x:c r="H189" t="inlineStr">
        <x:is>
          <x:t xml:space="preserve">Hair Care</x:t>
        </x:is>
      </x:c>
      <x:c r="I189" t="inlineStr">
        <x:is>
          <x:t xml:space="preserve">Daniel</x:t>
        </x:is>
      </x:c>
      <x:c r="J189" t="n">
        <x:v>84</x:v>
      </x:c>
      <x:c r="K189" t="n">
        <x:v>33.75</x:v>
      </x:c>
      <x:c r="L189" t="n">
        <x:v>113.66</x:v>
      </x:c>
      <x:c r="M189" t="n">
        <x:v>0</x:v>
      </x:c>
      <x:c r="N189" t="n">
        <x:v>9547.440000000001</x:v>
      </x:c>
      <x:c r="O189" t="n">
        <x:v>2835</x:v>
      </x:c>
      <x:c r="P189" t="n">
        <x:v>6712.44</x:v>
      </x:c>
      <x:c r="Q189" t="n">
        <x:v>70.31</x:v>
      </x:c>
      <x:c r="R189" t="inlineStr">
        <x:is>
          <x:t xml:space="preserve">Cash</x:t>
        </x:is>
      </x:c>
      <x:c r="S189" t="inlineStr">
        <x:is>
          <x:t xml:space="preserve">New</x:t>
        </x:is>
      </x:c>
    </x:row>
    <x:row r="190">
      <x:c r="A190" t="inlineStr">
        <x:is>
          <x:t xml:space="preserve">T100190</x:t>
        </x:is>
      </x:c>
      <x:c r="B190" s="10" t="n">
        <x:v>45352</x:v>
      </x:c>
      <x:c r="C190" t="inlineStr">
        <x:is>
          <x:t xml:space="preserve">S001</x:t>
        </x:is>
      </x:c>
      <x:c r="D190" t="inlineStr">
        <x:is>
          <x:t xml:space="preserve">Miami Design District</x:t>
        </x:is>
      </x:c>
      <x:c r="E190" t="inlineStr">
        <x:is>
          <x:t xml:space="preserve">Gabriel Samra</x:t>
        </x:is>
      </x:c>
      <x:c r="F190" t="inlineStr">
        <x:is>
          <x:t xml:space="preserve">GS003</x:t>
        </x:is>
      </x:c>
      <x:c r="G190" t="inlineStr">
        <x:is>
          <x:t xml:space="preserve">Repair Mask</x:t>
        </x:is>
      </x:c>
      <x:c r="H190" t="inlineStr">
        <x:is>
          <x:t xml:space="preserve">Hair Care</x:t>
        </x:is>
      </x:c>
      <x:c r="I190" t="inlineStr">
        <x:is>
          <x:t xml:space="preserve">Emma</x:t>
        </x:is>
      </x:c>
      <x:c r="J190" t="n">
        <x:v>83</x:v>
      </x:c>
      <x:c r="K190" t="n">
        <x:v>18.86</x:v>
      </x:c>
      <x:c r="L190" t="n">
        <x:v>66</x:v>
      </x:c>
      <x:c r="M190" t="n">
        <x:v>0</x:v>
      </x:c>
      <x:c r="N190" t="n">
        <x:v>5478</x:v>
      </x:c>
      <x:c r="O190" t="n">
        <x:v>1565.38</x:v>
      </x:c>
      <x:c r="P190" t="n">
        <x:v>3912.62</x:v>
      </x:c>
      <x:c r="Q190" t="n">
        <x:v>71.42</x:v>
      </x:c>
      <x:c r="R190" t="inlineStr">
        <x:is>
          <x:t xml:space="preserve">Cash</x:t>
        </x:is>
      </x:c>
      <x:c r="S190" t="inlineStr">
        <x:is>
          <x:t xml:space="preserve">New</x:t>
        </x:is>
      </x:c>
    </x:row>
    <x:row r="191">
      <x:c r="A191" t="inlineStr">
        <x:is>
          <x:t xml:space="preserve">T100191</x:t>
        </x:is>
      </x:c>
      <x:c r="B191" s="10" t="n">
        <x:v>45383</x:v>
      </x:c>
      <x:c r="C191" t="inlineStr">
        <x:is>
          <x:t xml:space="preserve">S001</x:t>
        </x:is>
      </x:c>
      <x:c r="D191" t="inlineStr">
        <x:is>
          <x:t xml:space="preserve">Miami Design District</x:t>
        </x:is>
      </x:c>
      <x:c r="E191" t="inlineStr">
        <x:is>
          <x:t xml:space="preserve">Gabriel Samra</x:t>
        </x:is>
      </x:c>
      <x:c r="F191" t="inlineStr">
        <x:is>
          <x:t xml:space="preserve">GS003</x:t>
        </x:is>
      </x:c>
      <x:c r="G191" t="inlineStr">
        <x:is>
          <x:t xml:space="preserve">Repair Mask</x:t>
        </x:is>
      </x:c>
      <x:c r="H191" t="inlineStr">
        <x:is>
          <x:t xml:space="preserve">Hair Care</x:t>
        </x:is>
      </x:c>
      <x:c r="I191" t="inlineStr">
        <x:is>
          <x:t xml:space="preserve">Sophia</x:t>
        </x:is>
      </x:c>
      <x:c r="J191" t="n">
        <x:v>85</x:v>
      </x:c>
      <x:c r="K191" t="n">
        <x:v>27.89</x:v>
      </x:c>
      <x:c r="L191" t="n">
        <x:v>67.79000000000001</x:v>
      </x:c>
      <x:c r="M191" t="n">
        <x:v>0</x:v>
      </x:c>
      <x:c r="N191" t="n">
        <x:v>5762.15</x:v>
      </x:c>
      <x:c r="O191" t="n">
        <x:v>2370.65</x:v>
      </x:c>
      <x:c r="P191" t="n">
        <x:v>3391.5</x:v>
      </x:c>
      <x:c r="Q191" t="n">
        <x:v>58.86</x:v>
      </x:c>
      <x:c r="R191" t="inlineStr">
        <x:is>
          <x:t xml:space="preserve">Cash</x:t>
        </x:is>
      </x:c>
      <x:c r="S191" t="inlineStr">
        <x:is>
          <x:t xml:space="preserve">New</x:t>
        </x:is>
      </x:c>
    </x:row>
    <x:row r="192">
      <x:c r="A192" t="inlineStr">
        <x:is>
          <x:t xml:space="preserve">T100192</x:t>
        </x:is>
      </x:c>
      <x:c r="B192" s="10" t="n">
        <x:v>45413</x:v>
      </x:c>
      <x:c r="C192" t="inlineStr">
        <x:is>
          <x:t xml:space="preserve">S001</x:t>
        </x:is>
      </x:c>
      <x:c r="D192" t="inlineStr">
        <x:is>
          <x:t xml:space="preserve">Miami Design District</x:t>
        </x:is>
      </x:c>
      <x:c r="E192" t="inlineStr">
        <x:is>
          <x:t xml:space="preserve">Gabriel Samra</x:t>
        </x:is>
      </x:c>
      <x:c r="F192" t="inlineStr">
        <x:is>
          <x:t xml:space="preserve">GS003</x:t>
        </x:is>
      </x:c>
      <x:c r="G192" t="inlineStr">
        <x:is>
          <x:t xml:space="preserve">Repair Mask</x:t>
        </x:is>
      </x:c>
      <x:c r="H192" t="inlineStr">
        <x:is>
          <x:t xml:space="preserve">Hair Care</x:t>
        </x:is>
      </x:c>
      <x:c r="I192" t="inlineStr">
        <x:is>
          <x:t xml:space="preserve">Sophia</x:t>
        </x:is>
      </x:c>
      <x:c r="J192" t="n">
        <x:v>79</x:v>
      </x:c>
      <x:c r="K192" t="n">
        <x:v>17.71</x:v>
      </x:c>
      <x:c r="L192" t="n">
        <x:v>43.41</x:v>
      </x:c>
      <x:c r="M192" t="n">
        <x:v>0</x:v>
      </x:c>
      <x:c r="N192" t="n">
        <x:v>3429.39</x:v>
      </x:c>
      <x:c r="O192" t="n">
        <x:v>1399.09</x:v>
      </x:c>
      <x:c r="P192" t="n">
        <x:v>2030.3</x:v>
      </x:c>
      <x:c r="Q192" t="n">
        <x:v>59.2</x:v>
      </x:c>
      <x:c r="R192" t="inlineStr">
        <x:is>
          <x:t xml:space="preserve">Cash</x:t>
        </x:is>
      </x:c>
      <x:c r="S192" t="inlineStr">
        <x:is>
          <x:t xml:space="preserve">New</x:t>
        </x:is>
      </x:c>
    </x:row>
    <x:row r="193">
      <x:c r="A193" t="inlineStr">
        <x:is>
          <x:t xml:space="preserve">T100193</x:t>
        </x:is>
      </x:c>
      <x:c r="B193" s="10" t="n">
        <x:v>45444</x:v>
      </x:c>
      <x:c r="C193" t="inlineStr">
        <x:is>
          <x:t xml:space="preserve">S001</x:t>
        </x:is>
      </x:c>
      <x:c r="D193" t="inlineStr">
        <x:is>
          <x:t xml:space="preserve">Miami Design District</x:t>
        </x:is>
      </x:c>
      <x:c r="E193" t="inlineStr">
        <x:is>
          <x:t xml:space="preserve">Gabriel Samra</x:t>
        </x:is>
      </x:c>
      <x:c r="F193" t="inlineStr">
        <x:is>
          <x:t xml:space="preserve">GS003</x:t>
        </x:is>
      </x:c>
      <x:c r="G193" t="inlineStr">
        <x:is>
          <x:t xml:space="preserve">Repair Mask</x:t>
        </x:is>
      </x:c>
      <x:c r="H193" t="inlineStr">
        <x:is>
          <x:t xml:space="preserve">Hair Care</x:t>
        </x:is>
      </x:c>
      <x:c r="I193" t="inlineStr">
        <x:is>
          <x:t xml:space="preserve">Sophia</x:t>
        </x:is>
      </x:c>
      <x:c r="J193" t="n">
        <x:v>117</x:v>
      </x:c>
      <x:c r="K193" t="n">
        <x:v>34.37</x:v>
      </x:c>
      <x:c r="L193" t="n">
        <x:v>116.62</x:v>
      </x:c>
      <x:c r="M193" t="n">
        <x:v>0</x:v>
      </x:c>
      <x:c r="N193" t="n">
        <x:v>13644.54</x:v>
      </x:c>
      <x:c r="O193" t="n">
        <x:v>4021.29</x:v>
      </x:c>
      <x:c r="P193" t="n">
        <x:v>9623.25</x:v>
      </x:c>
      <x:c r="Q193" t="n">
        <x:v>70.53</x:v>
      </x:c>
      <x:c r="R193" t="inlineStr">
        <x:is>
          <x:t xml:space="preserve">Credit Card</x:t>
        </x:is>
      </x:c>
      <x:c r="S193" t="inlineStr">
        <x:is>
          <x:t xml:space="preserve">Returning</x:t>
        </x:is>
      </x:c>
    </x:row>
    <x:row r="194">
      <x:c r="A194" t="inlineStr">
        <x:is>
          <x:t xml:space="preserve">T100194</x:t>
        </x:is>
      </x:c>
      <x:c r="B194" s="10" t="n">
        <x:v>45474</x:v>
      </x:c>
      <x:c r="C194" t="inlineStr">
        <x:is>
          <x:t xml:space="preserve">S001</x:t>
        </x:is>
      </x:c>
      <x:c r="D194" t="inlineStr">
        <x:is>
          <x:t xml:space="preserve">Miami Design District</x:t>
        </x:is>
      </x:c>
      <x:c r="E194" t="inlineStr">
        <x:is>
          <x:t xml:space="preserve">Gabriel Samra</x:t>
        </x:is>
      </x:c>
      <x:c r="F194" t="inlineStr">
        <x:is>
          <x:t xml:space="preserve">GS003</x:t>
        </x:is>
      </x:c>
      <x:c r="G194" t="inlineStr">
        <x:is>
          <x:t xml:space="preserve">Repair Mask</x:t>
        </x:is>
      </x:c>
      <x:c r="H194" t="inlineStr">
        <x:is>
          <x:t xml:space="preserve">Hair Care</x:t>
        </x:is>
      </x:c>
      <x:c r="I194" t="inlineStr">
        <x:is>
          <x:t xml:space="preserve">Daniel</x:t>
        </x:is>
      </x:c>
      <x:c r="J194" t="n">
        <x:v>108</x:v>
      </x:c>
      <x:c r="K194" t="n">
        <x:v>31.31</x:v>
      </x:c>
      <x:c r="L194" t="n">
        <x:v>74.84999999999999</x:v>
      </x:c>
      <x:c r="M194" t="n">
        <x:v>5</x:v>
      </x:c>
      <x:c r="N194" t="n">
        <x:v>8083.8</x:v>
      </x:c>
      <x:c r="O194" t="n">
        <x:v>3381.48</x:v>
      </x:c>
      <x:c r="P194" t="n">
        <x:v>4702.32</x:v>
      </x:c>
      <x:c r="Q194" t="n">
        <x:v>58.17</x:v>
      </x:c>
      <x:c r="R194" t="inlineStr">
        <x:is>
          <x:t xml:space="preserve">Credit Card</x:t>
        </x:is>
      </x:c>
      <x:c r="S194" t="inlineStr">
        <x:is>
          <x:t xml:space="preserve">Returning</x:t>
        </x:is>
      </x:c>
    </x:row>
    <x:row r="195">
      <x:c r="A195" t="inlineStr">
        <x:is>
          <x:t xml:space="preserve">T100195</x:t>
        </x:is>
      </x:c>
      <x:c r="B195" s="10" t="n">
        <x:v>45505</x:v>
      </x:c>
      <x:c r="C195" t="inlineStr">
        <x:is>
          <x:t xml:space="preserve">S001</x:t>
        </x:is>
      </x:c>
      <x:c r="D195" t="inlineStr">
        <x:is>
          <x:t xml:space="preserve">Miami Design District</x:t>
        </x:is>
      </x:c>
      <x:c r="E195" t="inlineStr">
        <x:is>
          <x:t xml:space="preserve">Gabriel Samra</x:t>
        </x:is>
      </x:c>
      <x:c r="F195" t="inlineStr">
        <x:is>
          <x:t xml:space="preserve">GS003</x:t>
        </x:is>
      </x:c>
      <x:c r="G195" t="inlineStr">
        <x:is>
          <x:t xml:space="preserve">Repair Mask</x:t>
        </x:is>
      </x:c>
      <x:c r="H195" t="inlineStr">
        <x:is>
          <x:t xml:space="preserve">Hair Care</x:t>
        </x:is>
      </x:c>
      <x:c r="I195" t="inlineStr">
        <x:is>
          <x:t xml:space="preserve">Lucas</x:t>
        </x:is>
      </x:c>
      <x:c r="J195" t="n">
        <x:v>91</x:v>
      </x:c>
      <x:c r="K195" t="n">
        <x:v>29.5</x:v>
      </x:c>
      <x:c r="L195" t="n">
        <x:v>68</x:v>
      </x:c>
      <x:c r="M195" t="n">
        <x:v>0</x:v>
      </x:c>
      <x:c r="N195" t="n">
        <x:v>6188</x:v>
      </x:c>
      <x:c r="O195" t="n">
        <x:v>2684.5</x:v>
      </x:c>
      <x:c r="P195" t="n">
        <x:v>3503.5</x:v>
      </x:c>
      <x:c r="Q195" t="n">
        <x:v>56.62</x:v>
      </x:c>
      <x:c r="R195" t="inlineStr">
        <x:is>
          <x:t xml:space="preserve">Cash</x:t>
        </x:is>
      </x:c>
      <x:c r="S195" t="inlineStr">
        <x:is>
          <x:t xml:space="preserve">New</x:t>
        </x:is>
      </x:c>
    </x:row>
    <x:row r="196">
      <x:c r="A196" t="inlineStr">
        <x:is>
          <x:t xml:space="preserve">T100196</x:t>
        </x:is>
      </x:c>
      <x:c r="B196" s="10" t="n">
        <x:v>45536</x:v>
      </x:c>
      <x:c r="C196" t="inlineStr">
        <x:is>
          <x:t xml:space="preserve">S001</x:t>
        </x:is>
      </x:c>
      <x:c r="D196" t="inlineStr">
        <x:is>
          <x:t xml:space="preserve">Miami Design District</x:t>
        </x:is>
      </x:c>
      <x:c r="E196" t="inlineStr">
        <x:is>
          <x:t xml:space="preserve">Gabriel Samra</x:t>
        </x:is>
      </x:c>
      <x:c r="F196" t="inlineStr">
        <x:is>
          <x:t xml:space="preserve">GS003</x:t>
        </x:is>
      </x:c>
      <x:c r="G196" t="inlineStr">
        <x:is>
          <x:t xml:space="preserve">Repair Mask</x:t>
        </x:is>
      </x:c>
      <x:c r="H196" t="inlineStr">
        <x:is>
          <x:t xml:space="preserve">Hair Care</x:t>
        </x:is>
      </x:c>
      <x:c r="I196" t="inlineStr">
        <x:is>
          <x:t xml:space="preserve">Sophia</x:t>
        </x:is>
      </x:c>
      <x:c r="J196" t="n">
        <x:v>117</x:v>
      </x:c>
      <x:c r="K196" t="n">
        <x:v>13.91</x:v>
      </x:c>
      <x:c r="L196" t="n">
        <x:v>40.37</x:v>
      </x:c>
      <x:c r="M196" t="n">
        <x:v>0</x:v>
      </x:c>
      <x:c r="N196" t="n">
        <x:v>4723.29</x:v>
      </x:c>
      <x:c r="O196" t="n">
        <x:v>1627.47</x:v>
      </x:c>
      <x:c r="P196" t="n">
        <x:v>3095.82</x:v>
      </x:c>
      <x:c r="Q196" t="n">
        <x:v>65.54000000000001</x:v>
      </x:c>
      <x:c r="R196" t="inlineStr">
        <x:is>
          <x:t xml:space="preserve">Apple Pay</x:t>
        </x:is>
      </x:c>
      <x:c r="S196" t="inlineStr">
        <x:is>
          <x:t xml:space="preserve">Returning</x:t>
        </x:is>
      </x:c>
    </x:row>
    <x:row r="197">
      <x:c r="A197" t="inlineStr">
        <x:is>
          <x:t xml:space="preserve">T100197</x:t>
        </x:is>
      </x:c>
      <x:c r="B197" s="10" t="n">
        <x:v>45566</x:v>
      </x:c>
      <x:c r="C197" t="inlineStr">
        <x:is>
          <x:t xml:space="preserve">S001</x:t>
        </x:is>
      </x:c>
      <x:c r="D197" t="inlineStr">
        <x:is>
          <x:t xml:space="preserve">Miami Design District</x:t>
        </x:is>
      </x:c>
      <x:c r="E197" t="inlineStr">
        <x:is>
          <x:t xml:space="preserve">Gabriel Samra</x:t>
        </x:is>
      </x:c>
      <x:c r="F197" t="inlineStr">
        <x:is>
          <x:t xml:space="preserve">GS003</x:t>
        </x:is>
      </x:c>
      <x:c r="G197" t="inlineStr">
        <x:is>
          <x:t xml:space="preserve">Repair Mask</x:t>
        </x:is>
      </x:c>
      <x:c r="H197" t="inlineStr">
        <x:is>
          <x:t xml:space="preserve">Hair Care</x:t>
        </x:is>
      </x:c>
      <x:c r="I197" t="inlineStr">
        <x:is>
          <x:t xml:space="preserve">Lucas</x:t>
        </x:is>
      </x:c>
      <x:c r="J197" t="n">
        <x:v>98</x:v>
      </x:c>
      <x:c r="K197" t="n">
        <x:v>25.42</x:v>
      </x:c>
      <x:c r="L197" t="n">
        <x:v>73.84999999999999</x:v>
      </x:c>
      <x:c r="M197" t="n">
        <x:v>10</x:v>
      </x:c>
      <x:c r="N197" t="n">
        <x:v>7237.3</x:v>
      </x:c>
      <x:c r="O197" t="n">
        <x:v>2491.16</x:v>
      </x:c>
      <x:c r="P197" t="n">
        <x:v>4746.14</x:v>
      </x:c>
      <x:c r="Q197" t="n">
        <x:v>65.58</x:v>
      </x:c>
      <x:c r="R197" t="inlineStr">
        <x:is>
          <x:t xml:space="preserve">Credit Card</x:t>
        </x:is>
      </x:c>
      <x:c r="S197" t="inlineStr">
        <x:is>
          <x:t xml:space="preserve">New</x:t>
        </x:is>
      </x:c>
    </x:row>
    <x:row r="198">
      <x:c r="A198" t="inlineStr">
        <x:is>
          <x:t xml:space="preserve">T100198</x:t>
        </x:is>
      </x:c>
      <x:c r="B198" s="10" t="n">
        <x:v>45597</x:v>
      </x:c>
      <x:c r="C198" t="inlineStr">
        <x:is>
          <x:t xml:space="preserve">S001</x:t>
        </x:is>
      </x:c>
      <x:c r="D198" t="inlineStr">
        <x:is>
          <x:t xml:space="preserve">Miami Design District</x:t>
        </x:is>
      </x:c>
      <x:c r="E198" t="inlineStr">
        <x:is>
          <x:t xml:space="preserve">Gabriel Samra</x:t>
        </x:is>
      </x:c>
      <x:c r="F198" t="inlineStr">
        <x:is>
          <x:t xml:space="preserve">GS003</x:t>
        </x:is>
      </x:c>
      <x:c r="G198" t="inlineStr">
        <x:is>
          <x:t xml:space="preserve">Repair Mask</x:t>
        </x:is>
      </x:c>
      <x:c r="H198" t="inlineStr">
        <x:is>
          <x:t xml:space="preserve">Hair Care</x:t>
        </x:is>
      </x:c>
      <x:c r="I198" t="inlineStr">
        <x:is>
          <x:t xml:space="preserve">Sophia</x:t>
        </x:is>
      </x:c>
      <x:c r="J198" t="n">
        <x:v>144</x:v>
      </x:c>
      <x:c r="K198" t="n">
        <x:v>29.69</x:v>
      </x:c>
      <x:c r="L198" t="n">
        <x:v>70.36</x:v>
      </x:c>
      <x:c r="M198" t="n">
        <x:v>10</x:v>
      </x:c>
      <x:c r="N198" t="n">
        <x:v>10131.84</x:v>
      </x:c>
      <x:c r="O198" t="n">
        <x:v>4275.36</x:v>
      </x:c>
      <x:c r="P198" t="n">
        <x:v>5856.48</x:v>
      </x:c>
      <x:c r="Q198" t="n">
        <x:v>57.8</x:v>
      </x:c>
      <x:c r="R198" t="inlineStr">
        <x:is>
          <x:t xml:space="preserve">Credit Card</x:t>
        </x:is>
      </x:c>
      <x:c r="S198" t="inlineStr">
        <x:is>
          <x:t xml:space="preserve">Returning</x:t>
        </x:is>
      </x:c>
    </x:row>
    <x:row r="199">
      <x:c r="A199" t="inlineStr">
        <x:is>
          <x:t xml:space="preserve">T100199</x:t>
        </x:is>
      </x:c>
      <x:c r="B199" s="10" t="n">
        <x:v>45627</x:v>
      </x:c>
      <x:c r="C199" t="inlineStr">
        <x:is>
          <x:t xml:space="preserve">S001</x:t>
        </x:is>
      </x:c>
      <x:c r="D199" t="inlineStr">
        <x:is>
          <x:t xml:space="preserve">Miami Design District</x:t>
        </x:is>
      </x:c>
      <x:c r="E199" t="inlineStr">
        <x:is>
          <x:t xml:space="preserve">Gabriel Samra</x:t>
        </x:is>
      </x:c>
      <x:c r="F199" t="inlineStr">
        <x:is>
          <x:t xml:space="preserve">GS003</x:t>
        </x:is>
      </x:c>
      <x:c r="G199" t="inlineStr">
        <x:is>
          <x:t xml:space="preserve">Repair Mask</x:t>
        </x:is>
      </x:c>
      <x:c r="H199" t="inlineStr">
        <x:is>
          <x:t xml:space="preserve">Hair Care</x:t>
        </x:is>
      </x:c>
      <x:c r="I199" t="inlineStr">
        <x:is>
          <x:t xml:space="preserve">Lucas</x:t>
        </x:is>
      </x:c>
      <x:c r="J199" t="n">
        <x:v>176</x:v>
      </x:c>
      <x:c r="K199" t="n">
        <x:v>30.82</x:v>
      </x:c>
      <x:c r="L199" t="n">
        <x:v>90.44</x:v>
      </x:c>
      <x:c r="M199" t="n">
        <x:v>5</x:v>
      </x:c>
      <x:c r="N199" t="n">
        <x:v>15917.44</x:v>
      </x:c>
      <x:c r="O199" t="n">
        <x:v>5424.32</x:v>
      </x:c>
      <x:c r="P199" t="n">
        <x:v>10493.12</x:v>
      </x:c>
      <x:c r="Q199" t="n">
        <x:v>65.92</x:v>
      </x:c>
      <x:c r="R199" t="inlineStr">
        <x:is>
          <x:t xml:space="preserve">Apple Pay</x:t>
        </x:is>
      </x:c>
      <x:c r="S199" t="inlineStr">
        <x:is>
          <x:t xml:space="preserve">Returning</x:t>
        </x:is>
      </x:c>
    </x:row>
    <x:row r="200">
      <x:c r="A200" t="inlineStr">
        <x:is>
          <x:t xml:space="preserve">T100200</x:t>
        </x:is>
      </x:c>
      <x:c r="B200" s="10" t="n">
        <x:v>45658</x:v>
      </x:c>
      <x:c r="C200" t="inlineStr">
        <x:is>
          <x:t xml:space="preserve">S001</x:t>
        </x:is>
      </x:c>
      <x:c r="D200" t="inlineStr">
        <x:is>
          <x:t xml:space="preserve">Miami Design District</x:t>
        </x:is>
      </x:c>
      <x:c r="E200" t="inlineStr">
        <x:is>
          <x:t xml:space="preserve">Gabriel Samra</x:t>
        </x:is>
      </x:c>
      <x:c r="F200" t="inlineStr">
        <x:is>
          <x:t xml:space="preserve">GS003</x:t>
        </x:is>
      </x:c>
      <x:c r="G200" t="inlineStr">
        <x:is>
          <x:t xml:space="preserve">Repair Mask</x:t>
        </x:is>
      </x:c>
      <x:c r="H200" t="inlineStr">
        <x:is>
          <x:t xml:space="preserve">Hair Care</x:t>
        </x:is>
      </x:c>
      <x:c r="I200" t="inlineStr">
        <x:is>
          <x:t xml:space="preserve">Daniel</x:t>
        </x:is>
      </x:c>
      <x:c r="J200" t="n">
        <x:v>120</x:v>
      </x:c>
      <x:c r="K200" t="n">
        <x:v>31.17</x:v>
      </x:c>
      <x:c r="L200" t="n">
        <x:v>64.38</x:v>
      </x:c>
      <x:c r="M200" t="n">
        <x:v>5</x:v>
      </x:c>
      <x:c r="N200" t="n">
        <x:v>7725.6</x:v>
      </x:c>
      <x:c r="O200" t="n">
        <x:v>3740.4</x:v>
      </x:c>
      <x:c r="P200" t="n">
        <x:v>3985.2</x:v>
      </x:c>
      <x:c r="Q200" t="n">
        <x:v>51.58</x:v>
      </x:c>
      <x:c r="R200" t="inlineStr">
        <x:is>
          <x:t xml:space="preserve">Credit Card</x:t>
        </x:is>
      </x:c>
      <x:c r="S200" t="inlineStr">
        <x:is>
          <x:t xml:space="preserve">New</x:t>
        </x:is>
      </x:c>
    </x:row>
    <x:row r="201">
      <x:c r="A201" t="inlineStr">
        <x:is>
          <x:t xml:space="preserve">T100201</x:t>
        </x:is>
      </x:c>
      <x:c r="B201" s="10" t="n">
        <x:v>45689</x:v>
      </x:c>
      <x:c r="C201" t="inlineStr">
        <x:is>
          <x:t xml:space="preserve">S001</x:t>
        </x:is>
      </x:c>
      <x:c r="D201" t="inlineStr">
        <x:is>
          <x:t xml:space="preserve">Miami Design District</x:t>
        </x:is>
      </x:c>
      <x:c r="E201" t="inlineStr">
        <x:is>
          <x:t xml:space="preserve">Gabriel Samra</x:t>
        </x:is>
      </x:c>
      <x:c r="F201" t="inlineStr">
        <x:is>
          <x:t xml:space="preserve">GS003</x:t>
        </x:is>
      </x:c>
      <x:c r="G201" t="inlineStr">
        <x:is>
          <x:t xml:space="preserve">Repair Mask</x:t>
        </x:is>
      </x:c>
      <x:c r="H201" t="inlineStr">
        <x:is>
          <x:t xml:space="preserve">Hair Care</x:t>
        </x:is>
      </x:c>
      <x:c r="I201" t="inlineStr">
        <x:is>
          <x:t xml:space="preserve">Olivia</x:t>
        </x:is>
      </x:c>
      <x:c r="J201" t="n">
        <x:v>118</x:v>
      </x:c>
      <x:c r="K201" t="n">
        <x:v>28.9</x:v>
      </x:c>
      <x:c r="L201" t="n">
        <x:v>61.3</x:v>
      </x:c>
      <x:c r="M201" t="n">
        <x:v>0</x:v>
      </x:c>
      <x:c r="N201" t="n">
        <x:v>7233.4</x:v>
      </x:c>
      <x:c r="O201" t="n">
        <x:v>3410.2</x:v>
      </x:c>
      <x:c r="P201" t="n">
        <x:v>3823.2</x:v>
      </x:c>
      <x:c r="Q201" t="n">
        <x:v>52.85</x:v>
      </x:c>
      <x:c r="R201" t="inlineStr">
        <x:is>
          <x:t xml:space="preserve">Apple Pay</x:t>
        </x:is>
      </x:c>
      <x:c r="S201" t="inlineStr">
        <x:is>
          <x:t xml:space="preserve">New</x:t>
        </x:is>
      </x:c>
    </x:row>
    <x:row r="202">
      <x:c r="A202" t="inlineStr">
        <x:is>
          <x:t xml:space="preserve">T100202</x:t>
        </x:is>
      </x:c>
      <x:c r="B202" s="10" t="n">
        <x:v>45717</x:v>
      </x:c>
      <x:c r="C202" t="inlineStr">
        <x:is>
          <x:t xml:space="preserve">S001</x:t>
        </x:is>
      </x:c>
      <x:c r="D202" t="inlineStr">
        <x:is>
          <x:t xml:space="preserve">Miami Design District</x:t>
        </x:is>
      </x:c>
      <x:c r="E202" t="inlineStr">
        <x:is>
          <x:t xml:space="preserve">Gabriel Samra</x:t>
        </x:is>
      </x:c>
      <x:c r="F202" t="inlineStr">
        <x:is>
          <x:t xml:space="preserve">GS003</x:t>
        </x:is>
      </x:c>
      <x:c r="G202" t="inlineStr">
        <x:is>
          <x:t xml:space="preserve">Repair Mask</x:t>
        </x:is>
      </x:c>
      <x:c r="H202" t="inlineStr">
        <x:is>
          <x:t xml:space="preserve">Hair Care</x:t>
        </x:is>
      </x:c>
      <x:c r="I202" t="inlineStr">
        <x:is>
          <x:t xml:space="preserve">Lucas</x:t>
        </x:is>
      </x:c>
      <x:c r="J202" t="n">
        <x:v>254</x:v>
      </x:c>
      <x:c r="K202" t="n">
        <x:v>22.94</x:v>
      </x:c>
      <x:c r="L202" t="n">
        <x:v>73.25</x:v>
      </x:c>
      <x:c r="M202" t="n">
        <x:v>10</x:v>
      </x:c>
      <x:c r="N202" t="n">
        <x:v>18605.5</x:v>
      </x:c>
      <x:c r="O202" t="n">
        <x:v>5826.76</x:v>
      </x:c>
      <x:c r="P202" t="n">
        <x:v>12778.74</x:v>
      </x:c>
      <x:c r="Q202" t="n">
        <x:v>68.68000000000001</x:v>
      </x:c>
      <x:c r="R202" t="inlineStr">
        <x:is>
          <x:t xml:space="preserve">Apple Pay</x:t>
        </x:is>
      </x:c>
      <x:c r="S202" t="inlineStr">
        <x:is>
          <x:t xml:space="preserve">Returning</x:t>
        </x:is>
      </x:c>
    </x:row>
    <x:row r="203">
      <x:c r="A203" t="inlineStr">
        <x:is>
          <x:t xml:space="preserve">T100203</x:t>
        </x:is>
      </x:c>
      <x:c r="B203" s="10" t="n">
        <x:v>45748</x:v>
      </x:c>
      <x:c r="C203" t="inlineStr">
        <x:is>
          <x:t xml:space="preserve">S001</x:t>
        </x:is>
      </x:c>
      <x:c r="D203" t="inlineStr">
        <x:is>
          <x:t xml:space="preserve">Miami Design District</x:t>
        </x:is>
      </x:c>
      <x:c r="E203" t="inlineStr">
        <x:is>
          <x:t xml:space="preserve">Gabriel Samra</x:t>
        </x:is>
      </x:c>
      <x:c r="F203" t="inlineStr">
        <x:is>
          <x:t xml:space="preserve">GS003</x:t>
        </x:is>
      </x:c>
      <x:c r="G203" t="inlineStr">
        <x:is>
          <x:t xml:space="preserve">Repair Mask</x:t>
        </x:is>
      </x:c>
      <x:c r="H203" t="inlineStr">
        <x:is>
          <x:t xml:space="preserve">Hair Care</x:t>
        </x:is>
      </x:c>
      <x:c r="I203" t="inlineStr">
        <x:is>
          <x:t xml:space="preserve">Olivia</x:t>
        </x:is>
      </x:c>
      <x:c r="J203" t="n">
        <x:v>133</x:v>
      </x:c>
      <x:c r="K203" t="n">
        <x:v>34.74</x:v>
      </x:c>
      <x:c r="L203" t="n">
        <x:v>117.38</x:v>
      </x:c>
      <x:c r="M203" t="n">
        <x:v>0</x:v>
      </x:c>
      <x:c r="N203" t="n">
        <x:v>15611.54</x:v>
      </x:c>
      <x:c r="O203" t="n">
        <x:v>4620.42</x:v>
      </x:c>
      <x:c r="P203" t="n">
        <x:v>10991.12</x:v>
      </x:c>
      <x:c r="Q203" t="n">
        <x:v>70.40000000000001</x:v>
      </x:c>
      <x:c r="R203" t="inlineStr">
        <x:is>
          <x:t xml:space="preserve">Credit Card</x:t>
        </x:is>
      </x:c>
      <x:c r="S203" t="inlineStr">
        <x:is>
          <x:t xml:space="preserve">Returning</x:t>
        </x:is>
      </x:c>
    </x:row>
    <x:row r="204">
      <x:c r="A204" t="inlineStr">
        <x:is>
          <x:t xml:space="preserve">T100204</x:t>
        </x:is>
      </x:c>
      <x:c r="B204" s="10" t="n">
        <x:v>45778</x:v>
      </x:c>
      <x:c r="C204" t="inlineStr">
        <x:is>
          <x:t xml:space="preserve">S001</x:t>
        </x:is>
      </x:c>
      <x:c r="D204" t="inlineStr">
        <x:is>
          <x:t xml:space="preserve">Miami Design District</x:t>
        </x:is>
      </x:c>
      <x:c r="E204" t="inlineStr">
        <x:is>
          <x:t xml:space="preserve">Gabriel Samra</x:t>
        </x:is>
      </x:c>
      <x:c r="F204" t="inlineStr">
        <x:is>
          <x:t xml:space="preserve">GS003</x:t>
        </x:is>
      </x:c>
      <x:c r="G204" t="inlineStr">
        <x:is>
          <x:t xml:space="preserve">Repair Mask</x:t>
        </x:is>
      </x:c>
      <x:c r="H204" t="inlineStr">
        <x:is>
          <x:t xml:space="preserve">Hair Care</x:t>
        </x:is>
      </x:c>
      <x:c r="I204" t="inlineStr">
        <x:is>
          <x:t xml:space="preserve">Emma</x:t>
        </x:is>
      </x:c>
      <x:c r="J204" t="n">
        <x:v>174</x:v>
      </x:c>
      <x:c r="K204" t="n">
        <x:v>14.57</x:v>
      </x:c>
      <x:c r="L204" t="n">
        <x:v>50.38</x:v>
      </x:c>
      <x:c r="M204" t="n">
        <x:v>10</x:v>
      </x:c>
      <x:c r="N204" t="n">
        <x:v>8766.120000000001</x:v>
      </x:c>
      <x:c r="O204" t="n">
        <x:v>2535.18</x:v>
      </x:c>
      <x:c r="P204" t="n">
        <x:v>6230.94</x:v>
      </x:c>
      <x:c r="Q204" t="n">
        <x:v>71.08</x:v>
      </x:c>
      <x:c r="R204" t="inlineStr">
        <x:is>
          <x:t xml:space="preserve">Credit Card</x:t>
        </x:is>
      </x:c>
      <x:c r="S204" t="inlineStr">
        <x:is>
          <x:t xml:space="preserve">New</x:t>
        </x:is>
      </x:c>
    </x:row>
    <x:row r="205">
      <x:c r="A205" t="inlineStr">
        <x:is>
          <x:t xml:space="preserve">T100205</x:t>
        </x:is>
      </x:c>
      <x:c r="B205" s="10" t="n">
        <x:v>45809</x:v>
      </x:c>
      <x:c r="C205" t="inlineStr">
        <x:is>
          <x:t xml:space="preserve">S001</x:t>
        </x:is>
      </x:c>
      <x:c r="D205" t="inlineStr">
        <x:is>
          <x:t xml:space="preserve">Miami Design District</x:t>
        </x:is>
      </x:c>
      <x:c r="E205" t="inlineStr">
        <x:is>
          <x:t xml:space="preserve">Gabriel Samra</x:t>
        </x:is>
      </x:c>
      <x:c r="F205" t="inlineStr">
        <x:is>
          <x:t xml:space="preserve">GS003</x:t>
        </x:is>
      </x:c>
      <x:c r="G205" t="inlineStr">
        <x:is>
          <x:t xml:space="preserve">Repair Mask</x:t>
        </x:is>
      </x:c>
      <x:c r="H205" t="inlineStr">
        <x:is>
          <x:t xml:space="preserve">Hair Care</x:t>
        </x:is>
      </x:c>
      <x:c r="I205" t="inlineStr">
        <x:is>
          <x:t xml:space="preserve">Emma</x:t>
        </x:is>
      </x:c>
      <x:c r="J205" t="n">
        <x:v>289</x:v>
      </x:c>
      <x:c r="K205" t="n">
        <x:v>15.16</x:v>
      </x:c>
      <x:c r="L205" t="n">
        <x:v>39.48</x:v>
      </x:c>
      <x:c r="M205" t="n">
        <x:v>5</x:v>
      </x:c>
      <x:c r="N205" t="n">
        <x:v>11409.72</x:v>
      </x:c>
      <x:c r="O205" t="n">
        <x:v>4381.24</x:v>
      </x:c>
      <x:c r="P205" t="n">
        <x:v>7028.48</x:v>
      </x:c>
      <x:c r="Q205" t="n">
        <x:v>61.6</x:v>
      </x:c>
      <x:c r="R205" t="inlineStr">
        <x:is>
          <x:t xml:space="preserve">Apple Pay</x:t>
        </x:is>
      </x:c>
      <x:c r="S205" t="inlineStr">
        <x:is>
          <x:t xml:space="preserve">Returning</x:t>
        </x:is>
      </x:c>
    </x:row>
    <x:row r="206">
      <x:c r="A206" t="inlineStr">
        <x:is>
          <x:t xml:space="preserve">T100206</x:t>
        </x:is>
      </x:c>
      <x:c r="B206" s="10" t="n">
        <x:v>45292</x:v>
      </x:c>
      <x:c r="C206" t="inlineStr">
        <x:is>
          <x:t xml:space="preserve">S001</x:t>
        </x:is>
      </x:c>
      <x:c r="D206" t="inlineStr">
        <x:is>
          <x:t xml:space="preserve">Miami Design District</x:t>
        </x:is>
      </x:c>
      <x:c r="E206" t="inlineStr">
        <x:is>
          <x:t xml:space="preserve">Gabriel Samra</x:t>
        </x:is>
      </x:c>
      <x:c r="F206" t="inlineStr">
        <x:is>
          <x:t xml:space="preserve">GS004</x:t>
        </x:is>
      </x:c>
      <x:c r="G206" t="inlineStr">
        <x:is>
          <x:t xml:space="preserve">Blonde Conditioner</x:t>
        </x:is>
      </x:c>
      <x:c r="H206" t="inlineStr">
        <x:is>
          <x:t xml:space="preserve">Hair Care</x:t>
        </x:is>
      </x:c>
      <x:c r="I206" t="inlineStr">
        <x:is>
          <x:t xml:space="preserve">Daniel</x:t>
        </x:is>
      </x:c>
      <x:c r="J206" t="n">
        <x:v>74</x:v>
      </x:c>
      <x:c r="K206" t="n">
        <x:v>26.24</x:v>
      </x:c>
      <x:c r="L206" t="n">
        <x:v>72.73999999999999</x:v>
      </x:c>
      <x:c r="M206" t="n">
        <x:v>10</x:v>
      </x:c>
      <x:c r="N206" t="n">
        <x:v>5382.76</x:v>
      </x:c>
      <x:c r="O206" t="n">
        <x:v>1941.76</x:v>
      </x:c>
      <x:c r="P206" t="n">
        <x:v>3441</x:v>
      </x:c>
      <x:c r="Q206" t="n">
        <x:v>63.93</x:v>
      </x:c>
      <x:c r="R206" t="inlineStr">
        <x:is>
          <x:t xml:space="preserve">Apple Pay</x:t>
        </x:is>
      </x:c>
      <x:c r="S206" t="inlineStr">
        <x:is>
          <x:t xml:space="preserve">New</x:t>
        </x:is>
      </x:c>
    </x:row>
    <x:row r="207">
      <x:c r="A207" t="inlineStr">
        <x:is>
          <x:t xml:space="preserve">T100207</x:t>
        </x:is>
      </x:c>
      <x:c r="B207" s="10" t="n">
        <x:v>45323</x:v>
      </x:c>
      <x:c r="C207" t="inlineStr">
        <x:is>
          <x:t xml:space="preserve">S001</x:t>
        </x:is>
      </x:c>
      <x:c r="D207" t="inlineStr">
        <x:is>
          <x:t xml:space="preserve">Miami Design District</x:t>
        </x:is>
      </x:c>
      <x:c r="E207" t="inlineStr">
        <x:is>
          <x:t xml:space="preserve">Gabriel Samra</x:t>
        </x:is>
      </x:c>
      <x:c r="F207" t="inlineStr">
        <x:is>
          <x:t xml:space="preserve">GS004</x:t>
        </x:is>
      </x:c>
      <x:c r="G207" t="inlineStr">
        <x:is>
          <x:t xml:space="preserve">Blonde Conditioner</x:t>
        </x:is>
      </x:c>
      <x:c r="H207" t="inlineStr">
        <x:is>
          <x:t xml:space="preserve">Hair Care</x:t>
        </x:is>
      </x:c>
      <x:c r="I207" t="inlineStr">
        <x:is>
          <x:t xml:space="preserve">Emma</x:t>
        </x:is>
      </x:c>
      <x:c r="J207" t="n">
        <x:v>71</x:v>
      </x:c>
      <x:c r="K207" t="n">
        <x:v>27.24</x:v>
      </x:c>
      <x:c r="L207" t="n">
        <x:v>87.08</x:v>
      </x:c>
      <x:c r="M207" t="n">
        <x:v>5</x:v>
      </x:c>
      <x:c r="N207" t="n">
        <x:v>6182.68</x:v>
      </x:c>
      <x:c r="O207" t="n">
        <x:v>1934.04</x:v>
      </x:c>
      <x:c r="P207" t="n">
        <x:v>4248.64</x:v>
      </x:c>
      <x:c r="Q207" t="n">
        <x:v>68.72</x:v>
      </x:c>
      <x:c r="R207" t="inlineStr">
        <x:is>
          <x:t xml:space="preserve">Apple Pay</x:t>
        </x:is>
      </x:c>
      <x:c r="S207" t="inlineStr">
        <x:is>
          <x:t xml:space="preserve">Returning</x:t>
        </x:is>
      </x:c>
    </x:row>
    <x:row r="208">
      <x:c r="A208" t="inlineStr">
        <x:is>
          <x:t xml:space="preserve">T100208</x:t>
        </x:is>
      </x:c>
      <x:c r="B208" s="10" t="n">
        <x:v>45352</x:v>
      </x:c>
      <x:c r="C208" t="inlineStr">
        <x:is>
          <x:t xml:space="preserve">S001</x:t>
        </x:is>
      </x:c>
      <x:c r="D208" t="inlineStr">
        <x:is>
          <x:t xml:space="preserve">Miami Design District</x:t>
        </x:is>
      </x:c>
      <x:c r="E208" t="inlineStr">
        <x:is>
          <x:t xml:space="preserve">Gabriel Samra</x:t>
        </x:is>
      </x:c>
      <x:c r="F208" t="inlineStr">
        <x:is>
          <x:t xml:space="preserve">GS004</x:t>
        </x:is>
      </x:c>
      <x:c r="G208" t="inlineStr">
        <x:is>
          <x:t xml:space="preserve">Blonde Conditioner</x:t>
        </x:is>
      </x:c>
      <x:c r="H208" t="inlineStr">
        <x:is>
          <x:t xml:space="preserve">Hair Care</x:t>
        </x:is>
      </x:c>
      <x:c r="I208" t="inlineStr">
        <x:is>
          <x:t xml:space="preserve">Olivia</x:t>
        </x:is>
      </x:c>
      <x:c r="J208" t="n">
        <x:v>68</x:v>
      </x:c>
      <x:c r="K208" t="n">
        <x:v>34.03</x:v>
      </x:c>
      <x:c r="L208" t="n">
        <x:v>108.88</x:v>
      </x:c>
      <x:c r="M208" t="n">
        <x:v>10</x:v>
      </x:c>
      <x:c r="N208" t="n">
        <x:v>7403.84</x:v>
      </x:c>
      <x:c r="O208" t="n">
        <x:v>2314.04</x:v>
      </x:c>
      <x:c r="P208" t="n">
        <x:v>5089.8</x:v>
      </x:c>
      <x:c r="Q208" t="n">
        <x:v>68.75</x:v>
      </x:c>
      <x:c r="R208" t="inlineStr">
        <x:is>
          <x:t xml:space="preserve">Cash</x:t>
        </x:is>
      </x:c>
      <x:c r="S208" t="inlineStr">
        <x:is>
          <x:t xml:space="preserve">Returning</x:t>
        </x:is>
      </x:c>
    </x:row>
    <x:row r="209">
      <x:c r="A209" t="inlineStr">
        <x:is>
          <x:t xml:space="preserve">T100209</x:t>
        </x:is>
      </x:c>
      <x:c r="B209" s="10" t="n">
        <x:v>45383</x:v>
      </x:c>
      <x:c r="C209" t="inlineStr">
        <x:is>
          <x:t xml:space="preserve">S001</x:t>
        </x:is>
      </x:c>
      <x:c r="D209" t="inlineStr">
        <x:is>
          <x:t xml:space="preserve">Miami Design District</x:t>
        </x:is>
      </x:c>
      <x:c r="E209" t="inlineStr">
        <x:is>
          <x:t xml:space="preserve">Gabriel Samra</x:t>
        </x:is>
      </x:c>
      <x:c r="F209" t="inlineStr">
        <x:is>
          <x:t xml:space="preserve">GS004</x:t>
        </x:is>
      </x:c>
      <x:c r="G209" t="inlineStr">
        <x:is>
          <x:t xml:space="preserve">Blonde Conditioner</x:t>
        </x:is>
      </x:c>
      <x:c r="H209" t="inlineStr">
        <x:is>
          <x:t xml:space="preserve">Hair Care</x:t>
        </x:is>
      </x:c>
      <x:c r="I209" t="inlineStr">
        <x:is>
          <x:t xml:space="preserve">Emma</x:t>
        </x:is>
      </x:c>
      <x:c r="J209" t="n">
        <x:v>59</x:v>
      </x:c>
      <x:c r="K209" t="n">
        <x:v>17.03</x:v>
      </x:c>
      <x:c r="L209" t="n">
        <x:v>40.47</x:v>
      </x:c>
      <x:c r="M209" t="n">
        <x:v>0</x:v>
      </x:c>
      <x:c r="N209" t="n">
        <x:v>2387.73</x:v>
      </x:c>
      <x:c r="O209" t="n">
        <x:v>1004.77</x:v>
      </x:c>
      <x:c r="P209" t="n">
        <x:v>1382.96</x:v>
      </x:c>
      <x:c r="Q209" t="n">
        <x:v>57.92</x:v>
      </x:c>
      <x:c r="R209" t="inlineStr">
        <x:is>
          <x:t xml:space="preserve">Credit Card</x:t>
        </x:is>
      </x:c>
      <x:c r="S209" t="inlineStr">
        <x:is>
          <x:t xml:space="preserve">Returning</x:t>
        </x:is>
      </x:c>
    </x:row>
    <x:row r="210">
      <x:c r="A210" t="inlineStr">
        <x:is>
          <x:t xml:space="preserve">T100210</x:t>
        </x:is>
      </x:c>
      <x:c r="B210" s="10" t="n">
        <x:v>45413</x:v>
      </x:c>
      <x:c r="C210" t="inlineStr">
        <x:is>
          <x:t xml:space="preserve">S001</x:t>
        </x:is>
      </x:c>
      <x:c r="D210" t="inlineStr">
        <x:is>
          <x:t xml:space="preserve">Miami Design District</x:t>
        </x:is>
      </x:c>
      <x:c r="E210" t="inlineStr">
        <x:is>
          <x:t xml:space="preserve">Gabriel Samra</x:t>
        </x:is>
      </x:c>
      <x:c r="F210" t="inlineStr">
        <x:is>
          <x:t xml:space="preserve">GS004</x:t>
        </x:is>
      </x:c>
      <x:c r="G210" t="inlineStr">
        <x:is>
          <x:t xml:space="preserve">Blonde Conditioner</x:t>
        </x:is>
      </x:c>
      <x:c r="H210" t="inlineStr">
        <x:is>
          <x:t xml:space="preserve">Hair Care</x:t>
        </x:is>
      </x:c>
      <x:c r="I210" t="inlineStr">
        <x:is>
          <x:t xml:space="preserve">Emma</x:t>
        </x:is>
      </x:c>
      <x:c r="J210" t="n">
        <x:v>66</x:v>
      </x:c>
      <x:c r="K210" t="n">
        <x:v>21.3</x:v>
      </x:c>
      <x:c r="L210" t="n">
        <x:v>69.87</x:v>
      </x:c>
      <x:c r="M210" t="n">
        <x:v>0</x:v>
      </x:c>
      <x:c r="N210" t="n">
        <x:v>4611.42</x:v>
      </x:c>
      <x:c r="O210" t="n">
        <x:v>1405.8</x:v>
      </x:c>
      <x:c r="P210" t="n">
        <x:v>3205.62</x:v>
      </x:c>
      <x:c r="Q210" t="n">
        <x:v>69.51000000000001</x:v>
      </x:c>
      <x:c r="R210" t="inlineStr">
        <x:is>
          <x:t xml:space="preserve">Cash</x:t>
        </x:is>
      </x:c>
      <x:c r="S210" t="inlineStr">
        <x:is>
          <x:t xml:space="preserve">Returning</x:t>
        </x:is>
      </x:c>
    </x:row>
    <x:row r="211">
      <x:c r="A211" t="inlineStr">
        <x:is>
          <x:t xml:space="preserve">T100211</x:t>
        </x:is>
      </x:c>
      <x:c r="B211" s="10" t="n">
        <x:v>45444</x:v>
      </x:c>
      <x:c r="C211" t="inlineStr">
        <x:is>
          <x:t xml:space="preserve">S001</x:t>
        </x:is>
      </x:c>
      <x:c r="D211" t="inlineStr">
        <x:is>
          <x:t xml:space="preserve">Miami Design District</x:t>
        </x:is>
      </x:c>
      <x:c r="E211" t="inlineStr">
        <x:is>
          <x:t xml:space="preserve">Gabriel Samra</x:t>
        </x:is>
      </x:c>
      <x:c r="F211" t="inlineStr">
        <x:is>
          <x:t xml:space="preserve">GS004</x:t>
        </x:is>
      </x:c>
      <x:c r="G211" t="inlineStr">
        <x:is>
          <x:t xml:space="preserve">Blonde Conditioner</x:t>
        </x:is>
      </x:c>
      <x:c r="H211" t="inlineStr">
        <x:is>
          <x:t xml:space="preserve">Hair Care</x:t>
        </x:is>
      </x:c>
      <x:c r="I211" t="inlineStr">
        <x:is>
          <x:t xml:space="preserve">Emma</x:t>
        </x:is>
      </x:c>
      <x:c r="J211" t="n">
        <x:v>70</x:v>
      </x:c>
      <x:c r="K211" t="n">
        <x:v>13.77</x:v>
      </x:c>
      <x:c r="L211" t="n">
        <x:v>31.29</x:v>
      </x:c>
      <x:c r="M211" t="n">
        <x:v>5</x:v>
      </x:c>
      <x:c r="N211" t="n">
        <x:v>2190.3</x:v>
      </x:c>
      <x:c r="O211" t="n">
        <x:v>963.9</x:v>
      </x:c>
      <x:c r="P211" t="n">
        <x:v>1226.4</x:v>
      </x:c>
      <x:c r="Q211" t="n">
        <x:v>55.99</x:v>
      </x:c>
      <x:c r="R211" t="inlineStr">
        <x:is>
          <x:t xml:space="preserve">Credit Card</x:t>
        </x:is>
      </x:c>
      <x:c r="S211" t="inlineStr">
        <x:is>
          <x:t xml:space="preserve">Returning</x:t>
        </x:is>
      </x:c>
    </x:row>
    <x:row r="212">
      <x:c r="A212" t="inlineStr">
        <x:is>
          <x:t xml:space="preserve">T100212</x:t>
        </x:is>
      </x:c>
      <x:c r="B212" s="10" t="n">
        <x:v>45474</x:v>
      </x:c>
      <x:c r="C212" t="inlineStr">
        <x:is>
          <x:t xml:space="preserve">S001</x:t>
        </x:is>
      </x:c>
      <x:c r="D212" t="inlineStr">
        <x:is>
          <x:t xml:space="preserve">Miami Design District</x:t>
        </x:is>
      </x:c>
      <x:c r="E212" t="inlineStr">
        <x:is>
          <x:t xml:space="preserve">Gabriel Samra</x:t>
        </x:is>
      </x:c>
      <x:c r="F212" t="inlineStr">
        <x:is>
          <x:t xml:space="preserve">GS004</x:t>
        </x:is>
      </x:c>
      <x:c r="G212" t="inlineStr">
        <x:is>
          <x:t xml:space="preserve">Blonde Conditioner</x:t>
        </x:is>
      </x:c>
      <x:c r="H212" t="inlineStr">
        <x:is>
          <x:t xml:space="preserve">Hair Care</x:t>
        </x:is>
      </x:c>
      <x:c r="I212" t="inlineStr">
        <x:is>
          <x:t xml:space="preserve">Sophia</x:t>
        </x:is>
      </x:c>
      <x:c r="J212" t="n">
        <x:v>72</x:v>
      </x:c>
      <x:c r="K212" t="n">
        <x:v>23.13</x:v>
      </x:c>
      <x:c r="L212" t="n">
        <x:v>58.64</x:v>
      </x:c>
      <x:c r="M212" t="n">
        <x:v>0</x:v>
      </x:c>
      <x:c r="N212" t="n">
        <x:v>4222.08</x:v>
      </x:c>
      <x:c r="O212" t="n">
        <x:v>1665.36</x:v>
      </x:c>
      <x:c r="P212" t="n">
        <x:v>2556.72</x:v>
      </x:c>
      <x:c r="Q212" t="n">
        <x:v>60.56</x:v>
      </x:c>
      <x:c r="R212" t="inlineStr">
        <x:is>
          <x:t xml:space="preserve">Cash</x:t>
        </x:is>
      </x:c>
      <x:c r="S212" t="inlineStr">
        <x:is>
          <x:t xml:space="preserve">New</x:t>
        </x:is>
      </x:c>
    </x:row>
    <x:row r="213">
      <x:c r="A213" t="inlineStr">
        <x:is>
          <x:t xml:space="preserve">T100213</x:t>
        </x:is>
      </x:c>
      <x:c r="B213" s="10" t="n">
        <x:v>45505</x:v>
      </x:c>
      <x:c r="C213" t="inlineStr">
        <x:is>
          <x:t xml:space="preserve">S001</x:t>
        </x:is>
      </x:c>
      <x:c r="D213" t="inlineStr">
        <x:is>
          <x:t xml:space="preserve">Miami Design District</x:t>
        </x:is>
      </x:c>
      <x:c r="E213" t="inlineStr">
        <x:is>
          <x:t xml:space="preserve">Gabriel Samra</x:t>
        </x:is>
      </x:c>
      <x:c r="F213" t="inlineStr">
        <x:is>
          <x:t xml:space="preserve">GS004</x:t>
        </x:is>
      </x:c>
      <x:c r="G213" t="inlineStr">
        <x:is>
          <x:t xml:space="preserve">Blonde Conditioner</x:t>
        </x:is>
      </x:c>
      <x:c r="H213" t="inlineStr">
        <x:is>
          <x:t xml:space="preserve">Hair Care</x:t>
        </x:is>
      </x:c>
      <x:c r="I213" t="inlineStr">
        <x:is>
          <x:t xml:space="preserve">Sophia</x:t>
        </x:is>
      </x:c>
      <x:c r="J213" t="n">
        <x:v>85</x:v>
      </x:c>
      <x:c r="K213" t="n">
        <x:v>32.72</x:v>
      </x:c>
      <x:c r="L213" t="n">
        <x:v>72.89</x:v>
      </x:c>
      <x:c r="M213" t="n">
        <x:v>10</x:v>
      </x:c>
      <x:c r="N213" t="n">
        <x:v>6195.65</x:v>
      </x:c>
      <x:c r="O213" t="n">
        <x:v>2781.2</x:v>
      </x:c>
      <x:c r="P213" t="n">
        <x:v>3414.45</x:v>
      </x:c>
      <x:c r="Q213" t="n">
        <x:v>55.11</x:v>
      </x:c>
      <x:c r="R213" t="inlineStr">
        <x:is>
          <x:t xml:space="preserve">Cash</x:t>
        </x:is>
      </x:c>
      <x:c r="S213" t="inlineStr">
        <x:is>
          <x:t xml:space="preserve">New</x:t>
        </x:is>
      </x:c>
    </x:row>
    <x:row r="214">
      <x:c r="A214" t="inlineStr">
        <x:is>
          <x:t xml:space="preserve">T100214</x:t>
        </x:is>
      </x:c>
      <x:c r="B214" s="10" t="n">
        <x:v>45536</x:v>
      </x:c>
      <x:c r="C214" t="inlineStr">
        <x:is>
          <x:t xml:space="preserve">S001</x:t>
        </x:is>
      </x:c>
      <x:c r="D214" t="inlineStr">
        <x:is>
          <x:t xml:space="preserve">Miami Design District</x:t>
        </x:is>
      </x:c>
      <x:c r="E214" t="inlineStr">
        <x:is>
          <x:t xml:space="preserve">Gabriel Samra</x:t>
        </x:is>
      </x:c>
      <x:c r="F214" t="inlineStr">
        <x:is>
          <x:t xml:space="preserve">GS004</x:t>
        </x:is>
      </x:c>
      <x:c r="G214" t="inlineStr">
        <x:is>
          <x:t xml:space="preserve">Blonde Conditioner</x:t>
        </x:is>
      </x:c>
      <x:c r="H214" t="inlineStr">
        <x:is>
          <x:t xml:space="preserve">Hair Care</x:t>
        </x:is>
      </x:c>
      <x:c r="I214" t="inlineStr">
        <x:is>
          <x:t xml:space="preserve">Olivia</x:t>
        </x:is>
      </x:c>
      <x:c r="J214" t="n">
        <x:v>68</x:v>
      </x:c>
      <x:c r="K214" t="n">
        <x:v>19.28</x:v>
      </x:c>
      <x:c r="L214" t="n">
        <x:v>43.31</x:v>
      </x:c>
      <x:c r="M214" t="n">
        <x:v>10</x:v>
      </x:c>
      <x:c r="N214" t="n">
        <x:v>2945.08</x:v>
      </x:c>
      <x:c r="O214" t="n">
        <x:v>1311.04</x:v>
      </x:c>
      <x:c r="P214" t="n">
        <x:v>1634.04</x:v>
      </x:c>
      <x:c r="Q214" t="n">
        <x:v>55.48</x:v>
      </x:c>
      <x:c r="R214" t="inlineStr">
        <x:is>
          <x:t xml:space="preserve">Cash</x:t>
        </x:is>
      </x:c>
      <x:c r="S214" t="inlineStr">
        <x:is>
          <x:t xml:space="preserve">New</x:t>
        </x:is>
      </x:c>
    </x:row>
    <x:row r="215">
      <x:c r="A215" t="inlineStr">
        <x:is>
          <x:t xml:space="preserve">T100215</x:t>
        </x:is>
      </x:c>
      <x:c r="B215" s="10" t="n">
        <x:v>45566</x:v>
      </x:c>
      <x:c r="C215" t="inlineStr">
        <x:is>
          <x:t xml:space="preserve">S001</x:t>
        </x:is>
      </x:c>
      <x:c r="D215" t="inlineStr">
        <x:is>
          <x:t xml:space="preserve">Miami Design District</x:t>
        </x:is>
      </x:c>
      <x:c r="E215" t="inlineStr">
        <x:is>
          <x:t xml:space="preserve">Gabriel Samra</x:t>
        </x:is>
      </x:c>
      <x:c r="F215" t="inlineStr">
        <x:is>
          <x:t xml:space="preserve">GS004</x:t>
        </x:is>
      </x:c>
      <x:c r="G215" t="inlineStr">
        <x:is>
          <x:t xml:space="preserve">Blonde Conditioner</x:t>
        </x:is>
      </x:c>
      <x:c r="H215" t="inlineStr">
        <x:is>
          <x:t xml:space="preserve">Hair Care</x:t>
        </x:is>
      </x:c>
      <x:c r="I215" t="inlineStr">
        <x:is>
          <x:t xml:space="preserve">Sophia</x:t>
        </x:is>
      </x:c>
      <x:c r="J215" t="n">
        <x:v>87</x:v>
      </x:c>
      <x:c r="K215" t="n">
        <x:v>12.91</x:v>
      </x:c>
      <x:c r="L215" t="n">
        <x:v>39.81</x:v>
      </x:c>
      <x:c r="M215" t="n">
        <x:v>0</x:v>
      </x:c>
      <x:c r="N215" t="n">
        <x:v>3463.47</x:v>
      </x:c>
      <x:c r="O215" t="n">
        <x:v>1123.17</x:v>
      </x:c>
      <x:c r="P215" t="n">
        <x:v>2340.3</x:v>
      </x:c>
      <x:c r="Q215" t="n">
        <x:v>67.56999999999999</x:v>
      </x:c>
      <x:c r="R215" t="inlineStr">
        <x:is>
          <x:t xml:space="preserve">Cash</x:t>
        </x:is>
      </x:c>
      <x:c r="S215" t="inlineStr">
        <x:is>
          <x:t xml:space="preserve">Returning</x:t>
        </x:is>
      </x:c>
    </x:row>
    <x:row r="216">
      <x:c r="A216" t="inlineStr">
        <x:is>
          <x:t xml:space="preserve">T100216</x:t>
        </x:is>
      </x:c>
      <x:c r="B216" s="10" t="n">
        <x:v>45597</x:v>
      </x:c>
      <x:c r="C216" t="inlineStr">
        <x:is>
          <x:t xml:space="preserve">S001</x:t>
        </x:is>
      </x:c>
      <x:c r="D216" t="inlineStr">
        <x:is>
          <x:t xml:space="preserve">Miami Design District</x:t>
        </x:is>
      </x:c>
      <x:c r="E216" t="inlineStr">
        <x:is>
          <x:t xml:space="preserve">Gabriel Samra</x:t>
        </x:is>
      </x:c>
      <x:c r="F216" t="inlineStr">
        <x:is>
          <x:t xml:space="preserve">GS004</x:t>
        </x:is>
      </x:c>
      <x:c r="G216" t="inlineStr">
        <x:is>
          <x:t xml:space="preserve">Blonde Conditioner</x:t>
        </x:is>
      </x:c>
      <x:c r="H216" t="inlineStr">
        <x:is>
          <x:t xml:space="preserve">Hair Care</x:t>
        </x:is>
      </x:c>
      <x:c r="I216" t="inlineStr">
        <x:is>
          <x:t xml:space="preserve">Olivia</x:t>
        </x:is>
      </x:c>
      <x:c r="J216" t="n">
        <x:v>104</x:v>
      </x:c>
      <x:c r="K216" t="n">
        <x:v>26.38</x:v>
      </x:c>
      <x:c r="L216" t="n">
        <x:v>64.03</x:v>
      </x:c>
      <x:c r="M216" t="n">
        <x:v>0</x:v>
      </x:c>
      <x:c r="N216" t="n">
        <x:v>6659.12</x:v>
      </x:c>
      <x:c r="O216" t="n">
        <x:v>2743.52</x:v>
      </x:c>
      <x:c r="P216" t="n">
        <x:v>3915.6</x:v>
      </x:c>
      <x:c r="Q216" t="n">
        <x:v>58.8</x:v>
      </x:c>
      <x:c r="R216" t="inlineStr">
        <x:is>
          <x:t xml:space="preserve">Cash</x:t>
        </x:is>
      </x:c>
      <x:c r="S216" t="inlineStr">
        <x:is>
          <x:t xml:space="preserve">New</x:t>
        </x:is>
      </x:c>
    </x:row>
    <x:row r="217">
      <x:c r="A217" t="inlineStr">
        <x:is>
          <x:t xml:space="preserve">T100217</x:t>
        </x:is>
      </x:c>
      <x:c r="B217" s="10" t="n">
        <x:v>45627</x:v>
      </x:c>
      <x:c r="C217" t="inlineStr">
        <x:is>
          <x:t xml:space="preserve">S001</x:t>
        </x:is>
      </x:c>
      <x:c r="D217" t="inlineStr">
        <x:is>
          <x:t xml:space="preserve">Miami Design District</x:t>
        </x:is>
      </x:c>
      <x:c r="E217" t="inlineStr">
        <x:is>
          <x:t xml:space="preserve">Gabriel Samra</x:t>
        </x:is>
      </x:c>
      <x:c r="F217" t="inlineStr">
        <x:is>
          <x:t xml:space="preserve">GS004</x:t>
        </x:is>
      </x:c>
      <x:c r="G217" t="inlineStr">
        <x:is>
          <x:t xml:space="preserve">Blonde Conditioner</x:t>
        </x:is>
      </x:c>
      <x:c r="H217" t="inlineStr">
        <x:is>
          <x:t xml:space="preserve">Hair Care</x:t>
        </x:is>
      </x:c>
      <x:c r="I217" t="inlineStr">
        <x:is>
          <x:t xml:space="preserve">Sophia</x:t>
        </x:is>
      </x:c>
      <x:c r="J217" t="n">
        <x:v>100</x:v>
      </x:c>
      <x:c r="K217" t="n">
        <x:v>26.85</x:v>
      </x:c>
      <x:c r="L217" t="n">
        <x:v>60.32</x:v>
      </x:c>
      <x:c r="M217" t="n">
        <x:v>10</x:v>
      </x:c>
      <x:c r="N217" t="n">
        <x:v>6032</x:v>
      </x:c>
      <x:c r="O217" t="n">
        <x:v>2685</x:v>
      </x:c>
      <x:c r="P217" t="n">
        <x:v>3347</x:v>
      </x:c>
      <x:c r="Q217" t="n">
        <x:v>55.49</x:v>
      </x:c>
      <x:c r="R217" t="inlineStr">
        <x:is>
          <x:t xml:space="preserve">Cash</x:t>
        </x:is>
      </x:c>
      <x:c r="S217" t="inlineStr">
        <x:is>
          <x:t xml:space="preserve">New</x:t>
        </x:is>
      </x:c>
    </x:row>
    <x:row r="218">
      <x:c r="A218" t="inlineStr">
        <x:is>
          <x:t xml:space="preserve">T100218</x:t>
        </x:is>
      </x:c>
      <x:c r="B218" s="10" t="n">
        <x:v>45658</x:v>
      </x:c>
      <x:c r="C218" t="inlineStr">
        <x:is>
          <x:t xml:space="preserve">S001</x:t>
        </x:is>
      </x:c>
      <x:c r="D218" t="inlineStr">
        <x:is>
          <x:t xml:space="preserve">Miami Design District</x:t>
        </x:is>
      </x:c>
      <x:c r="E218" t="inlineStr">
        <x:is>
          <x:t xml:space="preserve">Gabriel Samra</x:t>
        </x:is>
      </x:c>
      <x:c r="F218" t="inlineStr">
        <x:is>
          <x:t xml:space="preserve">GS004</x:t>
        </x:is>
      </x:c>
      <x:c r="G218" t="inlineStr">
        <x:is>
          <x:t xml:space="preserve">Blonde Conditioner</x:t>
        </x:is>
      </x:c>
      <x:c r="H218" t="inlineStr">
        <x:is>
          <x:t xml:space="preserve">Hair Care</x:t>
        </x:is>
      </x:c>
      <x:c r="I218" t="inlineStr">
        <x:is>
          <x:t xml:space="preserve">Emma</x:t>
        </x:is>
      </x:c>
      <x:c r="J218" t="n">
        <x:v>77</x:v>
      </x:c>
      <x:c r="K218" t="n">
        <x:v>28.07</x:v>
      </x:c>
      <x:c r="L218" t="n">
        <x:v>64.12</x:v>
      </x:c>
      <x:c r="M218" t="n">
        <x:v>0</x:v>
      </x:c>
      <x:c r="N218" t="n">
        <x:v>4937.24</x:v>
      </x:c>
      <x:c r="O218" t="n">
        <x:v>2161.39</x:v>
      </x:c>
      <x:c r="P218" t="n">
        <x:v>2775.85</x:v>
      </x:c>
      <x:c r="Q218" t="n">
        <x:v>56.22</x:v>
      </x:c>
      <x:c r="R218" t="inlineStr">
        <x:is>
          <x:t xml:space="preserve">Cash</x:t>
        </x:is>
      </x:c>
      <x:c r="S218" t="inlineStr">
        <x:is>
          <x:t xml:space="preserve">New</x:t>
        </x:is>
      </x:c>
    </x:row>
    <x:row r="219">
      <x:c r="A219" t="inlineStr">
        <x:is>
          <x:t xml:space="preserve">T100219</x:t>
        </x:is>
      </x:c>
      <x:c r="B219" s="10" t="n">
        <x:v>45689</x:v>
      </x:c>
      <x:c r="C219" t="inlineStr">
        <x:is>
          <x:t xml:space="preserve">S001</x:t>
        </x:is>
      </x:c>
      <x:c r="D219" t="inlineStr">
        <x:is>
          <x:t xml:space="preserve">Miami Design District</x:t>
        </x:is>
      </x:c>
      <x:c r="E219" t="inlineStr">
        <x:is>
          <x:t xml:space="preserve">Gabriel Samra</x:t>
        </x:is>
      </x:c>
      <x:c r="F219" t="inlineStr">
        <x:is>
          <x:t xml:space="preserve">GS004</x:t>
        </x:is>
      </x:c>
      <x:c r="G219" t="inlineStr">
        <x:is>
          <x:t xml:space="preserve">Blonde Conditioner</x:t>
        </x:is>
      </x:c>
      <x:c r="H219" t="inlineStr">
        <x:is>
          <x:t xml:space="preserve">Hair Care</x:t>
        </x:is>
      </x:c>
      <x:c r="I219" t="inlineStr">
        <x:is>
          <x:t xml:space="preserve">Olivia</x:t>
        </x:is>
      </x:c>
      <x:c r="J219" t="n">
        <x:v>86</x:v>
      </x:c>
      <x:c r="K219" t="n">
        <x:v>19.6</x:v>
      </x:c>
      <x:c r="L219" t="n">
        <x:v>43.97</x:v>
      </x:c>
      <x:c r="M219" t="n">
        <x:v>0</x:v>
      </x:c>
      <x:c r="N219" t="n">
        <x:v>3781.42</x:v>
      </x:c>
      <x:c r="O219" t="n">
        <x:v>1685.6</x:v>
      </x:c>
      <x:c r="P219" t="n">
        <x:v>2095.82</x:v>
      </x:c>
      <x:c r="Q219" t="n">
        <x:v>55.42</x:v>
      </x:c>
      <x:c r="R219" t="inlineStr">
        <x:is>
          <x:t xml:space="preserve">Cash</x:t>
        </x:is>
      </x:c>
      <x:c r="S219" t="inlineStr">
        <x:is>
          <x:t xml:space="preserve">New</x:t>
        </x:is>
      </x:c>
    </x:row>
    <x:row r="220">
      <x:c r="A220" t="inlineStr">
        <x:is>
          <x:t xml:space="preserve">T100220</x:t>
        </x:is>
      </x:c>
      <x:c r="B220" s="10" t="n">
        <x:v>45717</x:v>
      </x:c>
      <x:c r="C220" t="inlineStr">
        <x:is>
          <x:t xml:space="preserve">S001</x:t>
        </x:is>
      </x:c>
      <x:c r="D220" t="inlineStr">
        <x:is>
          <x:t xml:space="preserve">Miami Design District</x:t>
        </x:is>
      </x:c>
      <x:c r="E220" t="inlineStr">
        <x:is>
          <x:t xml:space="preserve">Gabriel Samra</x:t>
        </x:is>
      </x:c>
      <x:c r="F220" t="inlineStr">
        <x:is>
          <x:t xml:space="preserve">GS004</x:t>
        </x:is>
      </x:c>
      <x:c r="G220" t="inlineStr">
        <x:is>
          <x:t xml:space="preserve">Blonde Conditioner</x:t>
        </x:is>
      </x:c>
      <x:c r="H220" t="inlineStr">
        <x:is>
          <x:t xml:space="preserve">Hair Care</x:t>
        </x:is>
      </x:c>
      <x:c r="I220" t="inlineStr">
        <x:is>
          <x:t xml:space="preserve">Emma</x:t>
        </x:is>
      </x:c>
      <x:c r="J220" t="n">
        <x:v>85</x:v>
      </x:c>
      <x:c r="K220" t="n">
        <x:v>30.88</x:v>
      </x:c>
      <x:c r="L220" t="n">
        <x:v>78.42</x:v>
      </x:c>
      <x:c r="M220" t="n">
        <x:v>0</x:v>
      </x:c>
      <x:c r="N220" t="n">
        <x:v>6665.7</x:v>
      </x:c>
      <x:c r="O220" t="n">
        <x:v>2624.8</x:v>
      </x:c>
      <x:c r="P220" t="n">
        <x:v>4040.9</x:v>
      </x:c>
      <x:c r="Q220" t="n">
        <x:v>60.62</x:v>
      </x:c>
      <x:c r="R220" t="inlineStr">
        <x:is>
          <x:t xml:space="preserve">Apple Pay</x:t>
        </x:is>
      </x:c>
      <x:c r="S220" t="inlineStr">
        <x:is>
          <x:t xml:space="preserve">Returning</x:t>
        </x:is>
      </x:c>
    </x:row>
    <x:row r="221">
      <x:c r="A221" t="inlineStr">
        <x:is>
          <x:t xml:space="preserve">T100221</x:t>
        </x:is>
      </x:c>
      <x:c r="B221" s="10" t="n">
        <x:v>45748</x:v>
      </x:c>
      <x:c r="C221" t="inlineStr">
        <x:is>
          <x:t xml:space="preserve">S001</x:t>
        </x:is>
      </x:c>
      <x:c r="D221" t="inlineStr">
        <x:is>
          <x:t xml:space="preserve">Miami Design District</x:t>
        </x:is>
      </x:c>
      <x:c r="E221" t="inlineStr">
        <x:is>
          <x:t xml:space="preserve">Gabriel Samra</x:t>
        </x:is>
      </x:c>
      <x:c r="F221" t="inlineStr">
        <x:is>
          <x:t xml:space="preserve">GS004</x:t>
        </x:is>
      </x:c>
      <x:c r="G221" t="inlineStr">
        <x:is>
          <x:t xml:space="preserve">Blonde Conditioner</x:t>
        </x:is>
      </x:c>
      <x:c r="H221" t="inlineStr">
        <x:is>
          <x:t xml:space="preserve">Hair Care</x:t>
        </x:is>
      </x:c>
      <x:c r="I221" t="inlineStr">
        <x:is>
          <x:t xml:space="preserve">Daniel</x:t>
        </x:is>
      </x:c>
      <x:c r="J221" t="n">
        <x:v>78</x:v>
      </x:c>
      <x:c r="K221" t="n">
        <x:v>23.45</x:v>
      </x:c>
      <x:c r="L221" t="n">
        <x:v>77.11</x:v>
      </x:c>
      <x:c r="M221" t="n">
        <x:v>0</x:v>
      </x:c>
      <x:c r="N221" t="n">
        <x:v>6014.58</x:v>
      </x:c>
      <x:c r="O221" t="n">
        <x:v>1829.1</x:v>
      </x:c>
      <x:c r="P221" t="n">
        <x:v>4185.48</x:v>
      </x:c>
      <x:c r="Q221" t="n">
        <x:v>69.59</x:v>
      </x:c>
      <x:c r="R221" t="inlineStr">
        <x:is>
          <x:t xml:space="preserve">Cash</x:t>
        </x:is>
      </x:c>
      <x:c r="S221" t="inlineStr">
        <x:is>
          <x:t xml:space="preserve">Returning</x:t>
        </x:is>
      </x:c>
    </x:row>
    <x:row r="222">
      <x:c r="A222" t="inlineStr">
        <x:is>
          <x:t xml:space="preserve">T100222</x:t>
        </x:is>
      </x:c>
      <x:c r="B222" s="10" t="n">
        <x:v>45778</x:v>
      </x:c>
      <x:c r="C222" t="inlineStr">
        <x:is>
          <x:t xml:space="preserve">S001</x:t>
        </x:is>
      </x:c>
      <x:c r="D222" t="inlineStr">
        <x:is>
          <x:t xml:space="preserve">Miami Design District</x:t>
        </x:is>
      </x:c>
      <x:c r="E222" t="inlineStr">
        <x:is>
          <x:t xml:space="preserve">Gabriel Samra</x:t>
        </x:is>
      </x:c>
      <x:c r="F222" t="inlineStr">
        <x:is>
          <x:t xml:space="preserve">GS004</x:t>
        </x:is>
      </x:c>
      <x:c r="G222" t="inlineStr">
        <x:is>
          <x:t xml:space="preserve">Blonde Conditioner</x:t>
        </x:is>
      </x:c>
      <x:c r="H222" t="inlineStr">
        <x:is>
          <x:t xml:space="preserve">Hair Care</x:t>
        </x:is>
      </x:c>
      <x:c r="I222" t="inlineStr">
        <x:is>
          <x:t xml:space="preserve">Sophia</x:t>
        </x:is>
      </x:c>
      <x:c r="J222" t="n">
        <x:v>69</x:v>
      </x:c>
      <x:c r="K222" t="n">
        <x:v>32.3</x:v>
      </x:c>
      <x:c r="L222" t="n">
        <x:v>96.83</x:v>
      </x:c>
      <x:c r="M222" t="n">
        <x:v>0</x:v>
      </x:c>
      <x:c r="N222" t="n">
        <x:v>6681.27</x:v>
      </x:c>
      <x:c r="O222" t="n">
        <x:v>2228.7</x:v>
      </x:c>
      <x:c r="P222" t="n">
        <x:v>4452.57</x:v>
      </x:c>
      <x:c r="Q222" t="n">
        <x:v>66.64</x:v>
      </x:c>
      <x:c r="R222" t="inlineStr">
        <x:is>
          <x:t xml:space="preserve">Credit Card</x:t>
        </x:is>
      </x:c>
      <x:c r="S222" t="inlineStr">
        <x:is>
          <x:t xml:space="preserve">New</x:t>
        </x:is>
      </x:c>
    </x:row>
    <x:row r="223">
      <x:c r="A223" t="inlineStr">
        <x:is>
          <x:t xml:space="preserve">T100223</x:t>
        </x:is>
      </x:c>
      <x:c r="B223" s="10" t="n">
        <x:v>45809</x:v>
      </x:c>
      <x:c r="C223" t="inlineStr">
        <x:is>
          <x:t xml:space="preserve">S001</x:t>
        </x:is>
      </x:c>
      <x:c r="D223" t="inlineStr">
        <x:is>
          <x:t xml:space="preserve">Miami Design District</x:t>
        </x:is>
      </x:c>
      <x:c r="E223" t="inlineStr">
        <x:is>
          <x:t xml:space="preserve">Gabriel Samra</x:t>
        </x:is>
      </x:c>
      <x:c r="F223" t="inlineStr">
        <x:is>
          <x:t xml:space="preserve">GS004</x:t>
        </x:is>
      </x:c>
      <x:c r="G223" t="inlineStr">
        <x:is>
          <x:t xml:space="preserve">Blonde Conditioner</x:t>
        </x:is>
      </x:c>
      <x:c r="H223" t="inlineStr">
        <x:is>
          <x:t xml:space="preserve">Hair Care</x:t>
        </x:is>
      </x:c>
      <x:c r="I223" t="inlineStr">
        <x:is>
          <x:t xml:space="preserve">Lucas</x:t>
        </x:is>
      </x:c>
      <x:c r="J223" t="n">
        <x:v>95</x:v>
      </x:c>
      <x:c r="K223" t="n">
        <x:v>32.53</x:v>
      </x:c>
      <x:c r="L223" t="n">
        <x:v>75.16</x:v>
      </x:c>
      <x:c r="M223" t="n">
        <x:v>5</x:v>
      </x:c>
      <x:c r="N223" t="n">
        <x:v>7140.2</x:v>
      </x:c>
      <x:c r="O223" t="n">
        <x:v>3090.35</x:v>
      </x:c>
      <x:c r="P223" t="n">
        <x:v>4049.85</x:v>
      </x:c>
      <x:c r="Q223" t="n">
        <x:v>56.72</x:v>
      </x:c>
      <x:c r="R223" t="inlineStr">
        <x:is>
          <x:t xml:space="preserve">Credit Card</x:t>
        </x:is>
      </x:c>
      <x:c r="S223" t="inlineStr">
        <x:is>
          <x:t xml:space="preserve">New</x:t>
        </x:is>
      </x:c>
    </x:row>
    <x:row r="224">
      <x:c r="A224" t="inlineStr">
        <x:is>
          <x:t xml:space="preserve">T100224</x:t>
        </x:is>
      </x:c>
      <x:c r="B224" s="10" t="n">
        <x:v>45292</x:v>
      </x:c>
      <x:c r="C224" t="inlineStr">
        <x:is>
          <x:t xml:space="preserve">S001</x:t>
        </x:is>
      </x:c>
      <x:c r="D224" t="inlineStr">
        <x:is>
          <x:t xml:space="preserve">Miami Design District</x:t>
        </x:is>
      </x:c>
      <x:c r="E224" t="inlineStr">
        <x:is>
          <x:t xml:space="preserve">Gabriel Samra</x:t>
        </x:is>
      </x:c>
      <x:c r="F224" t="inlineStr">
        <x:is>
          <x:t xml:space="preserve">GS005</x:t>
        </x:is>
      </x:c>
      <x:c r="G224" t="inlineStr">
        <x:is>
          <x:t xml:space="preserve">Hair Oil Serum</x:t>
        </x:is>
      </x:c>
      <x:c r="H224" t="inlineStr">
        <x:is>
          <x:t xml:space="preserve">Styling</x:t>
        </x:is>
      </x:c>
      <x:c r="I224" t="inlineStr">
        <x:is>
          <x:t xml:space="preserve">Olivia</x:t>
        </x:is>
      </x:c>
      <x:c r="J224" t="n">
        <x:v>28</x:v>
      </x:c>
      <x:c r="K224" t="n">
        <x:v>24.54</x:v>
      </x:c>
      <x:c r="L224" t="n">
        <x:v>76.34999999999999</x:v>
      </x:c>
      <x:c r="M224" t="n">
        <x:v>5</x:v>
      </x:c>
      <x:c r="N224" t="n">
        <x:v>2137.8</x:v>
      </x:c>
      <x:c r="O224" t="n">
        <x:v>687.12</x:v>
      </x:c>
      <x:c r="P224" t="n">
        <x:v>1450.68</x:v>
      </x:c>
      <x:c r="Q224" t="n">
        <x:v>67.86</x:v>
      </x:c>
      <x:c r="R224" t="inlineStr">
        <x:is>
          <x:t xml:space="preserve">Cash</x:t>
        </x:is>
      </x:c>
      <x:c r="S224" t="inlineStr">
        <x:is>
          <x:t xml:space="preserve">Returning</x:t>
        </x:is>
      </x:c>
    </x:row>
    <x:row r="225">
      <x:c r="A225" t="inlineStr">
        <x:is>
          <x:t xml:space="preserve">T100225</x:t>
        </x:is>
      </x:c>
      <x:c r="B225" s="10" t="n">
        <x:v>45323</x:v>
      </x:c>
      <x:c r="C225" t="inlineStr">
        <x:is>
          <x:t xml:space="preserve">S001</x:t>
        </x:is>
      </x:c>
      <x:c r="D225" t="inlineStr">
        <x:is>
          <x:t xml:space="preserve">Miami Design District</x:t>
        </x:is>
      </x:c>
      <x:c r="E225" t="inlineStr">
        <x:is>
          <x:t xml:space="preserve">Gabriel Samra</x:t>
        </x:is>
      </x:c>
      <x:c r="F225" t="inlineStr">
        <x:is>
          <x:t xml:space="preserve">GS005</x:t>
        </x:is>
      </x:c>
      <x:c r="G225" t="inlineStr">
        <x:is>
          <x:t xml:space="preserve">Hair Oil Serum</x:t>
        </x:is>
      </x:c>
      <x:c r="H225" t="inlineStr">
        <x:is>
          <x:t xml:space="preserve">Styling</x:t>
        </x:is>
      </x:c>
      <x:c r="I225" t="inlineStr">
        <x:is>
          <x:t xml:space="preserve">Olivia</x:t>
        </x:is>
      </x:c>
      <x:c r="J225" t="n">
        <x:v>26</x:v>
      </x:c>
      <x:c r="K225" t="n">
        <x:v>23.6</x:v>
      </x:c>
      <x:c r="L225" t="n">
        <x:v>80.86</x:v>
      </x:c>
      <x:c r="M225" t="n">
        <x:v>10</x:v>
      </x:c>
      <x:c r="N225" t="n">
        <x:v>2102.36</x:v>
      </x:c>
      <x:c r="O225" t="n">
        <x:v>613.6</x:v>
      </x:c>
      <x:c r="P225" t="n">
        <x:v>1488.76</x:v>
      </x:c>
      <x:c r="Q225" t="n">
        <x:v>70.81</x:v>
      </x:c>
      <x:c r="R225" t="inlineStr">
        <x:is>
          <x:t xml:space="preserve">Credit Card</x:t>
        </x:is>
      </x:c>
      <x:c r="S225" t="inlineStr">
        <x:is>
          <x:t xml:space="preserve">Returning</x:t>
        </x:is>
      </x:c>
    </x:row>
    <x:row r="226">
      <x:c r="A226" t="inlineStr">
        <x:is>
          <x:t xml:space="preserve">T100226</x:t>
        </x:is>
      </x:c>
      <x:c r="B226" s="10" t="n">
        <x:v>45352</x:v>
      </x:c>
      <x:c r="C226" t="inlineStr">
        <x:is>
          <x:t xml:space="preserve">S001</x:t>
        </x:is>
      </x:c>
      <x:c r="D226" t="inlineStr">
        <x:is>
          <x:t xml:space="preserve">Miami Design District</x:t>
        </x:is>
      </x:c>
      <x:c r="E226" t="inlineStr">
        <x:is>
          <x:t xml:space="preserve">Gabriel Samra</x:t>
        </x:is>
      </x:c>
      <x:c r="F226" t="inlineStr">
        <x:is>
          <x:t xml:space="preserve">GS005</x:t>
        </x:is>
      </x:c>
      <x:c r="G226" t="inlineStr">
        <x:is>
          <x:t xml:space="preserve">Hair Oil Serum</x:t>
        </x:is>
      </x:c>
      <x:c r="H226" t="inlineStr">
        <x:is>
          <x:t xml:space="preserve">Styling</x:t>
        </x:is>
      </x:c>
      <x:c r="I226" t="inlineStr">
        <x:is>
          <x:t xml:space="preserve">Lucas</x:t>
        </x:is>
      </x:c>
      <x:c r="J226" t="n">
        <x:v>33</x:v>
      </x:c>
      <x:c r="K226" t="n">
        <x:v>23.02</x:v>
      </x:c>
      <x:c r="L226" t="n">
        <x:v>53.54</x:v>
      </x:c>
      <x:c r="M226" t="n">
        <x:v>0</x:v>
      </x:c>
      <x:c r="N226" t="n">
        <x:v>1766.82</x:v>
      </x:c>
      <x:c r="O226" t="n">
        <x:v>759.66</x:v>
      </x:c>
      <x:c r="P226" t="n">
        <x:v>1007.16</x:v>
      </x:c>
      <x:c r="Q226" t="n">
        <x:v>57</x:v>
      </x:c>
      <x:c r="R226" t="inlineStr">
        <x:is>
          <x:t xml:space="preserve">Apple Pay</x:t>
        </x:is>
      </x:c>
      <x:c r="S226" t="inlineStr">
        <x:is>
          <x:t xml:space="preserve">Returning</x:t>
        </x:is>
      </x:c>
    </x:row>
    <x:row r="227">
      <x:c r="A227" t="inlineStr">
        <x:is>
          <x:t xml:space="preserve">T100227</x:t>
        </x:is>
      </x:c>
      <x:c r="B227" s="10" t="n">
        <x:v>45383</x:v>
      </x:c>
      <x:c r="C227" t="inlineStr">
        <x:is>
          <x:t xml:space="preserve">S001</x:t>
        </x:is>
      </x:c>
      <x:c r="D227" t="inlineStr">
        <x:is>
          <x:t xml:space="preserve">Miami Design District</x:t>
        </x:is>
      </x:c>
      <x:c r="E227" t="inlineStr">
        <x:is>
          <x:t xml:space="preserve">Gabriel Samra</x:t>
        </x:is>
      </x:c>
      <x:c r="F227" t="inlineStr">
        <x:is>
          <x:t xml:space="preserve">GS005</x:t>
        </x:is>
      </x:c>
      <x:c r="G227" t="inlineStr">
        <x:is>
          <x:t xml:space="preserve">Hair Oil Serum</x:t>
        </x:is>
      </x:c>
      <x:c r="H227" t="inlineStr">
        <x:is>
          <x:t xml:space="preserve">Styling</x:t>
        </x:is>
      </x:c>
      <x:c r="I227" t="inlineStr">
        <x:is>
          <x:t xml:space="preserve">Lucas</x:t>
        </x:is>
      </x:c>
      <x:c r="J227" t="n">
        <x:v>29</x:v>
      </x:c>
      <x:c r="K227" t="n">
        <x:v>32.56</x:v>
      </x:c>
      <x:c r="L227" t="n">
        <x:v>70.94</x:v>
      </x:c>
      <x:c r="M227" t="n">
        <x:v>10</x:v>
      </x:c>
      <x:c r="N227" t="n">
        <x:v>2057.26</x:v>
      </x:c>
      <x:c r="O227" t="n">
        <x:v>944.24</x:v>
      </x:c>
      <x:c r="P227" t="n">
        <x:v>1113.02</x:v>
      </x:c>
      <x:c r="Q227" t="n">
        <x:v>54.1</x:v>
      </x:c>
      <x:c r="R227" t="inlineStr">
        <x:is>
          <x:t xml:space="preserve">Apple Pay</x:t>
        </x:is>
      </x:c>
      <x:c r="S227" t="inlineStr">
        <x:is>
          <x:t xml:space="preserve">Returning</x:t>
        </x:is>
      </x:c>
    </x:row>
    <x:row r="228">
      <x:c r="A228" t="inlineStr">
        <x:is>
          <x:t xml:space="preserve">T100228</x:t>
        </x:is>
      </x:c>
      <x:c r="B228" s="10" t="n">
        <x:v>45413</x:v>
      </x:c>
      <x:c r="C228" t="inlineStr">
        <x:is>
          <x:t xml:space="preserve">S001</x:t>
        </x:is>
      </x:c>
      <x:c r="D228" t="inlineStr">
        <x:is>
          <x:t xml:space="preserve">Miami Design District</x:t>
        </x:is>
      </x:c>
      <x:c r="E228" t="inlineStr">
        <x:is>
          <x:t xml:space="preserve">Gabriel Samra</x:t>
        </x:is>
      </x:c>
      <x:c r="F228" t="inlineStr">
        <x:is>
          <x:t xml:space="preserve">GS005</x:t>
        </x:is>
      </x:c>
      <x:c r="G228" t="inlineStr">
        <x:is>
          <x:t xml:space="preserve">Hair Oil Serum</x:t>
        </x:is>
      </x:c>
      <x:c r="H228" t="inlineStr">
        <x:is>
          <x:t xml:space="preserve">Styling</x:t>
        </x:is>
      </x:c>
      <x:c r="I228" t="inlineStr">
        <x:is>
          <x:t xml:space="preserve">Olivia</x:t>
        </x:is>
      </x:c>
      <x:c r="J228" t="n">
        <x:v>28</x:v>
      </x:c>
      <x:c r="K228" t="n">
        <x:v>34.2</x:v>
      </x:c>
      <x:c r="L228" t="n">
        <x:v>93.64</x:v>
      </x:c>
      <x:c r="M228" t="n">
        <x:v>5</x:v>
      </x:c>
      <x:c r="N228" t="n">
        <x:v>2621.92</x:v>
      </x:c>
      <x:c r="O228" t="n">
        <x:v>957.6</x:v>
      </x:c>
      <x:c r="P228" t="n">
        <x:v>1664.32</x:v>
      </x:c>
      <x:c r="Q228" t="n">
        <x:v>63.48</x:v>
      </x:c>
      <x:c r="R228" t="inlineStr">
        <x:is>
          <x:t xml:space="preserve">Apple Pay</x:t>
        </x:is>
      </x:c>
      <x:c r="S228" t="inlineStr">
        <x:is>
          <x:t xml:space="preserve">New</x:t>
        </x:is>
      </x:c>
    </x:row>
    <x:row r="229">
      <x:c r="A229" t="inlineStr">
        <x:is>
          <x:t xml:space="preserve">T100229</x:t>
        </x:is>
      </x:c>
      <x:c r="B229" s="10" t="n">
        <x:v>45444</x:v>
      </x:c>
      <x:c r="C229" t="inlineStr">
        <x:is>
          <x:t xml:space="preserve">S001</x:t>
        </x:is>
      </x:c>
      <x:c r="D229" t="inlineStr">
        <x:is>
          <x:t xml:space="preserve">Miami Design District</x:t>
        </x:is>
      </x:c>
      <x:c r="E229" t="inlineStr">
        <x:is>
          <x:t xml:space="preserve">Gabriel Samra</x:t>
        </x:is>
      </x:c>
      <x:c r="F229" t="inlineStr">
        <x:is>
          <x:t xml:space="preserve">GS005</x:t>
        </x:is>
      </x:c>
      <x:c r="G229" t="inlineStr">
        <x:is>
          <x:t xml:space="preserve">Hair Oil Serum</x:t>
        </x:is>
      </x:c>
      <x:c r="H229" t="inlineStr">
        <x:is>
          <x:t xml:space="preserve">Styling</x:t>
        </x:is>
      </x:c>
      <x:c r="I229" t="inlineStr">
        <x:is>
          <x:t xml:space="preserve">Sophia</x:t>
        </x:is>
      </x:c>
      <x:c r="J229" t="n">
        <x:v>44</x:v>
      </x:c>
      <x:c r="K229" t="n">
        <x:v>23.12</x:v>
      </x:c>
      <x:c r="L229" t="n">
        <x:v>61.38</x:v>
      </x:c>
      <x:c r="M229" t="n">
        <x:v>0</x:v>
      </x:c>
      <x:c r="N229" t="n">
        <x:v>2700.72</x:v>
      </x:c>
      <x:c r="O229" t="n">
        <x:v>1017.28</x:v>
      </x:c>
      <x:c r="P229" t="n">
        <x:v>1683.44</x:v>
      </x:c>
      <x:c r="Q229" t="n">
        <x:v>62.33</x:v>
      </x:c>
      <x:c r="R229" t="inlineStr">
        <x:is>
          <x:t xml:space="preserve">Apple Pay</x:t>
        </x:is>
      </x:c>
      <x:c r="S229" t="inlineStr">
        <x:is>
          <x:t xml:space="preserve">Returning</x:t>
        </x:is>
      </x:c>
    </x:row>
    <x:row r="230">
      <x:c r="A230" t="inlineStr">
        <x:is>
          <x:t xml:space="preserve">T100230</x:t>
        </x:is>
      </x:c>
      <x:c r="B230" s="10" t="n">
        <x:v>45474</x:v>
      </x:c>
      <x:c r="C230" t="inlineStr">
        <x:is>
          <x:t xml:space="preserve">S001</x:t>
        </x:is>
      </x:c>
      <x:c r="D230" t="inlineStr">
        <x:is>
          <x:t xml:space="preserve">Miami Design District</x:t>
        </x:is>
      </x:c>
      <x:c r="E230" t="inlineStr">
        <x:is>
          <x:t xml:space="preserve">Gabriel Samra</x:t>
        </x:is>
      </x:c>
      <x:c r="F230" t="inlineStr">
        <x:is>
          <x:t xml:space="preserve">GS005</x:t>
        </x:is>
      </x:c>
      <x:c r="G230" t="inlineStr">
        <x:is>
          <x:t xml:space="preserve">Hair Oil Serum</x:t>
        </x:is>
      </x:c>
      <x:c r="H230" t="inlineStr">
        <x:is>
          <x:t xml:space="preserve">Styling</x:t>
        </x:is>
      </x:c>
      <x:c r="I230" t="inlineStr">
        <x:is>
          <x:t xml:space="preserve">Emma</x:t>
        </x:is>
      </x:c>
      <x:c r="J230" t="n">
        <x:v>42</x:v>
      </x:c>
      <x:c r="K230" t="n">
        <x:v>21.32</x:v>
      </x:c>
      <x:c r="L230" t="n">
        <x:v>57.15</x:v>
      </x:c>
      <x:c r="M230" t="n">
        <x:v>0</x:v>
      </x:c>
      <x:c r="N230" t="n">
        <x:v>2400.3</x:v>
      </x:c>
      <x:c r="O230" t="n">
        <x:v>895.4400000000001</x:v>
      </x:c>
      <x:c r="P230" t="n">
        <x:v>1504.86</x:v>
      </x:c>
      <x:c r="Q230" t="n">
        <x:v>62.69</x:v>
      </x:c>
      <x:c r="R230" t="inlineStr">
        <x:is>
          <x:t xml:space="preserve">Cash</x:t>
        </x:is>
      </x:c>
      <x:c r="S230" t="inlineStr">
        <x:is>
          <x:t xml:space="preserve">New</x:t>
        </x:is>
      </x:c>
    </x:row>
    <x:row r="231">
      <x:c r="A231" t="inlineStr">
        <x:is>
          <x:t xml:space="preserve">T100231</x:t>
        </x:is>
      </x:c>
      <x:c r="B231" s="10" t="n">
        <x:v>45505</x:v>
      </x:c>
      <x:c r="C231" t="inlineStr">
        <x:is>
          <x:t xml:space="preserve">S001</x:t>
        </x:is>
      </x:c>
      <x:c r="D231" t="inlineStr">
        <x:is>
          <x:t xml:space="preserve">Miami Design District</x:t>
        </x:is>
      </x:c>
      <x:c r="E231" t="inlineStr">
        <x:is>
          <x:t xml:space="preserve">Gabriel Samra</x:t>
        </x:is>
      </x:c>
      <x:c r="F231" t="inlineStr">
        <x:is>
          <x:t xml:space="preserve">GS005</x:t>
        </x:is>
      </x:c>
      <x:c r="G231" t="inlineStr">
        <x:is>
          <x:t xml:space="preserve">Hair Oil Serum</x:t>
        </x:is>
      </x:c>
      <x:c r="H231" t="inlineStr">
        <x:is>
          <x:t xml:space="preserve">Styling</x:t>
        </x:is>
      </x:c>
      <x:c r="I231" t="inlineStr">
        <x:is>
          <x:t xml:space="preserve">Olivia</x:t>
        </x:is>
      </x:c>
      <x:c r="J231" t="n">
        <x:v>39</x:v>
      </x:c>
      <x:c r="K231" t="n">
        <x:v>18.26</x:v>
      </x:c>
      <x:c r="L231" t="n">
        <x:v>59.13</x:v>
      </x:c>
      <x:c r="M231" t="n">
        <x:v>10</x:v>
      </x:c>
      <x:c r="N231" t="n">
        <x:v>2306.07</x:v>
      </x:c>
      <x:c r="O231" t="n">
        <x:v>712.14</x:v>
      </x:c>
      <x:c r="P231" t="n">
        <x:v>1593.93</x:v>
      </x:c>
      <x:c r="Q231" t="n">
        <x:v>69.12</x:v>
      </x:c>
      <x:c r="R231" t="inlineStr">
        <x:is>
          <x:t xml:space="preserve">Credit Card</x:t>
        </x:is>
      </x:c>
      <x:c r="S231" t="inlineStr">
        <x:is>
          <x:t xml:space="preserve">New</x:t>
        </x:is>
      </x:c>
    </x:row>
    <x:row r="232">
      <x:c r="A232" t="inlineStr">
        <x:is>
          <x:t xml:space="preserve">T100232</x:t>
        </x:is>
      </x:c>
      <x:c r="B232" s="10" t="n">
        <x:v>45536</x:v>
      </x:c>
      <x:c r="C232" t="inlineStr">
        <x:is>
          <x:t xml:space="preserve">S001</x:t>
        </x:is>
      </x:c>
      <x:c r="D232" t="inlineStr">
        <x:is>
          <x:t xml:space="preserve">Miami Design District</x:t>
        </x:is>
      </x:c>
      <x:c r="E232" t="inlineStr">
        <x:is>
          <x:t xml:space="preserve">Gabriel Samra</x:t>
        </x:is>
      </x:c>
      <x:c r="F232" t="inlineStr">
        <x:is>
          <x:t xml:space="preserve">GS005</x:t>
        </x:is>
      </x:c>
      <x:c r="G232" t="inlineStr">
        <x:is>
          <x:t xml:space="preserve">Hair Oil Serum</x:t>
        </x:is>
      </x:c>
      <x:c r="H232" t="inlineStr">
        <x:is>
          <x:t xml:space="preserve">Styling</x:t>
        </x:is>
      </x:c>
      <x:c r="I232" t="inlineStr">
        <x:is>
          <x:t xml:space="preserve">Lucas</x:t>
        </x:is>
      </x:c>
      <x:c r="J232" t="n">
        <x:v>38</x:v>
      </x:c>
      <x:c r="K232" t="n">
        <x:v>33.33</x:v>
      </x:c>
      <x:c r="L232" t="n">
        <x:v>83.3</x:v>
      </x:c>
      <x:c r="M232" t="n">
        <x:v>0</x:v>
      </x:c>
      <x:c r="N232" t="n">
        <x:v>3165.4</x:v>
      </x:c>
      <x:c r="O232" t="n">
        <x:v>1266.54</x:v>
      </x:c>
      <x:c r="P232" t="n">
        <x:v>1898.86</x:v>
      </x:c>
      <x:c r="Q232" t="n">
        <x:v>59.99</x:v>
      </x:c>
      <x:c r="R232" t="inlineStr">
        <x:is>
          <x:t xml:space="preserve">Credit Card</x:t>
        </x:is>
      </x:c>
      <x:c r="S232" t="inlineStr">
        <x:is>
          <x:t xml:space="preserve">New</x:t>
        </x:is>
      </x:c>
    </x:row>
    <x:row r="233">
      <x:c r="A233" t="inlineStr">
        <x:is>
          <x:t xml:space="preserve">T100233</x:t>
        </x:is>
      </x:c>
      <x:c r="B233" s="10" t="n">
        <x:v>45566</x:v>
      </x:c>
      <x:c r="C233" t="inlineStr">
        <x:is>
          <x:t xml:space="preserve">S001</x:t>
        </x:is>
      </x:c>
      <x:c r="D233" t="inlineStr">
        <x:is>
          <x:t xml:space="preserve">Miami Design District</x:t>
        </x:is>
      </x:c>
      <x:c r="E233" t="inlineStr">
        <x:is>
          <x:t xml:space="preserve">Gabriel Samra</x:t>
        </x:is>
      </x:c>
      <x:c r="F233" t="inlineStr">
        <x:is>
          <x:t xml:space="preserve">GS005</x:t>
        </x:is>
      </x:c>
      <x:c r="G233" t="inlineStr">
        <x:is>
          <x:t xml:space="preserve">Hair Oil Serum</x:t>
        </x:is>
      </x:c>
      <x:c r="H233" t="inlineStr">
        <x:is>
          <x:t xml:space="preserve">Styling</x:t>
        </x:is>
      </x:c>
      <x:c r="I233" t="inlineStr">
        <x:is>
          <x:t xml:space="preserve">Sophia</x:t>
        </x:is>
      </x:c>
      <x:c r="J233" t="n">
        <x:v>39</x:v>
      </x:c>
      <x:c r="K233" t="n">
        <x:v>23.49</x:v>
      </x:c>
      <x:c r="L233" t="n">
        <x:v>62.62</x:v>
      </x:c>
      <x:c r="M233" t="n">
        <x:v>10</x:v>
      </x:c>
      <x:c r="N233" t="n">
        <x:v>2442.18</x:v>
      </x:c>
      <x:c r="O233" t="n">
        <x:v>916.11</x:v>
      </x:c>
      <x:c r="P233" t="n">
        <x:v>1526.07</x:v>
      </x:c>
      <x:c r="Q233" t="n">
        <x:v>62.49</x:v>
      </x:c>
      <x:c r="R233" t="inlineStr">
        <x:is>
          <x:t xml:space="preserve">Cash</x:t>
        </x:is>
      </x:c>
      <x:c r="S233" t="inlineStr">
        <x:is>
          <x:t xml:space="preserve">Returning</x:t>
        </x:is>
      </x:c>
    </x:row>
    <x:row r="234">
      <x:c r="A234" t="inlineStr">
        <x:is>
          <x:t xml:space="preserve">T100234</x:t>
        </x:is>
      </x:c>
      <x:c r="B234" s="10" t="n">
        <x:v>45597</x:v>
      </x:c>
      <x:c r="C234" t="inlineStr">
        <x:is>
          <x:t xml:space="preserve">S001</x:t>
        </x:is>
      </x:c>
      <x:c r="D234" t="inlineStr">
        <x:is>
          <x:t xml:space="preserve">Miami Design District</x:t>
        </x:is>
      </x:c>
      <x:c r="E234" t="inlineStr">
        <x:is>
          <x:t xml:space="preserve">Gabriel Samra</x:t>
        </x:is>
      </x:c>
      <x:c r="F234" t="inlineStr">
        <x:is>
          <x:t xml:space="preserve">GS005</x:t>
        </x:is>
      </x:c>
      <x:c r="G234" t="inlineStr">
        <x:is>
          <x:t xml:space="preserve">Hair Oil Serum</x:t>
        </x:is>
      </x:c>
      <x:c r="H234" t="inlineStr">
        <x:is>
          <x:t xml:space="preserve">Styling</x:t>
        </x:is>
      </x:c>
      <x:c r="I234" t="inlineStr">
        <x:is>
          <x:t xml:space="preserve">Emma</x:t>
        </x:is>
      </x:c>
      <x:c r="J234" t="n">
        <x:v>52</x:v>
      </x:c>
      <x:c r="K234" t="n">
        <x:v>32.1</x:v>
      </x:c>
      <x:c r="L234" t="n">
        <x:v>72.98</x:v>
      </x:c>
      <x:c r="M234" t="n">
        <x:v>5</x:v>
      </x:c>
      <x:c r="N234" t="n">
        <x:v>3794.96</x:v>
      </x:c>
      <x:c r="O234" t="n">
        <x:v>1669.2</x:v>
      </x:c>
      <x:c r="P234" t="n">
        <x:v>2125.76</x:v>
      </x:c>
      <x:c r="Q234" t="n">
        <x:v>56.02</x:v>
      </x:c>
      <x:c r="R234" t="inlineStr">
        <x:is>
          <x:t xml:space="preserve">Cash</x:t>
        </x:is>
      </x:c>
      <x:c r="S234" t="inlineStr">
        <x:is>
          <x:t xml:space="preserve">New</x:t>
        </x:is>
      </x:c>
    </x:row>
    <x:row r="235">
      <x:c r="A235" t="inlineStr">
        <x:is>
          <x:t xml:space="preserve">T100235</x:t>
        </x:is>
      </x:c>
      <x:c r="B235" s="10" t="n">
        <x:v>45627</x:v>
      </x:c>
      <x:c r="C235" t="inlineStr">
        <x:is>
          <x:t xml:space="preserve">S001</x:t>
        </x:is>
      </x:c>
      <x:c r="D235" t="inlineStr">
        <x:is>
          <x:t xml:space="preserve">Miami Design District</x:t>
        </x:is>
      </x:c>
      <x:c r="E235" t="inlineStr">
        <x:is>
          <x:t xml:space="preserve">Gabriel Samra</x:t>
        </x:is>
      </x:c>
      <x:c r="F235" t="inlineStr">
        <x:is>
          <x:t xml:space="preserve">GS005</x:t>
        </x:is>
      </x:c>
      <x:c r="G235" t="inlineStr">
        <x:is>
          <x:t xml:space="preserve">Hair Oil Serum</x:t>
        </x:is>
      </x:c>
      <x:c r="H235" t="inlineStr">
        <x:is>
          <x:t xml:space="preserve">Styling</x:t>
        </x:is>
      </x:c>
      <x:c r="I235" t="inlineStr">
        <x:is>
          <x:t xml:space="preserve">Olivia</x:t>
        </x:is>
      </x:c>
      <x:c r="J235" t="n">
        <x:v>44</x:v>
      </x:c>
      <x:c r="K235" t="n">
        <x:v>30.98</x:v>
      </x:c>
      <x:c r="L235" t="n">
        <x:v>102.1</x:v>
      </x:c>
      <x:c r="M235" t="n">
        <x:v>0</x:v>
      </x:c>
      <x:c r="N235" t="n">
        <x:v>4492.4</x:v>
      </x:c>
      <x:c r="O235" t="n">
        <x:v>1363.12</x:v>
      </x:c>
      <x:c r="P235" t="n">
        <x:v>3129.28</x:v>
      </x:c>
      <x:c r="Q235" t="n">
        <x:v>69.66</x:v>
      </x:c>
      <x:c r="R235" t="inlineStr">
        <x:is>
          <x:t xml:space="preserve">Credit Card</x:t>
        </x:is>
      </x:c>
      <x:c r="S235" t="inlineStr">
        <x:is>
          <x:t xml:space="preserve">New</x:t>
        </x:is>
      </x:c>
    </x:row>
    <x:row r="236">
      <x:c r="A236" t="inlineStr">
        <x:is>
          <x:t xml:space="preserve">T100236</x:t>
        </x:is>
      </x:c>
      <x:c r="B236" s="10" t="n">
        <x:v>45658</x:v>
      </x:c>
      <x:c r="C236" t="inlineStr">
        <x:is>
          <x:t xml:space="preserve">S001</x:t>
        </x:is>
      </x:c>
      <x:c r="D236" t="inlineStr">
        <x:is>
          <x:t xml:space="preserve">Miami Design District</x:t>
        </x:is>
      </x:c>
      <x:c r="E236" t="inlineStr">
        <x:is>
          <x:t xml:space="preserve">Gabriel Samra</x:t>
        </x:is>
      </x:c>
      <x:c r="F236" t="inlineStr">
        <x:is>
          <x:t xml:space="preserve">GS005</x:t>
        </x:is>
      </x:c>
      <x:c r="G236" t="inlineStr">
        <x:is>
          <x:t xml:space="preserve">Hair Oil Serum</x:t>
        </x:is>
      </x:c>
      <x:c r="H236" t="inlineStr">
        <x:is>
          <x:t xml:space="preserve">Styling</x:t>
        </x:is>
      </x:c>
      <x:c r="I236" t="inlineStr">
        <x:is>
          <x:t xml:space="preserve">Olivia</x:t>
        </x:is>
      </x:c>
      <x:c r="J236" t="n">
        <x:v>37</x:v>
      </x:c>
      <x:c r="K236" t="n">
        <x:v>16.25</x:v>
      </x:c>
      <x:c r="L236" t="n">
        <x:v>54.05</x:v>
      </x:c>
      <x:c r="M236" t="n">
        <x:v>5</x:v>
      </x:c>
      <x:c r="N236" t="n">
        <x:v>1999.85</x:v>
      </x:c>
      <x:c r="O236" t="n">
        <x:v>601.25</x:v>
      </x:c>
      <x:c r="P236" t="n">
        <x:v>1398.6</x:v>
      </x:c>
      <x:c r="Q236" t="n">
        <x:v>69.94</x:v>
      </x:c>
      <x:c r="R236" t="inlineStr">
        <x:is>
          <x:t xml:space="preserve">Cash</x:t>
        </x:is>
      </x:c>
      <x:c r="S236" t="inlineStr">
        <x:is>
          <x:t xml:space="preserve">Returning</x:t>
        </x:is>
      </x:c>
    </x:row>
    <x:row r="237">
      <x:c r="A237" t="inlineStr">
        <x:is>
          <x:t xml:space="preserve">T100237</x:t>
        </x:is>
      </x:c>
      <x:c r="B237" s="10" t="n">
        <x:v>45689</x:v>
      </x:c>
      <x:c r="C237" t="inlineStr">
        <x:is>
          <x:t xml:space="preserve">S001</x:t>
        </x:is>
      </x:c>
      <x:c r="D237" t="inlineStr">
        <x:is>
          <x:t xml:space="preserve">Miami Design District</x:t>
        </x:is>
      </x:c>
      <x:c r="E237" t="inlineStr">
        <x:is>
          <x:t xml:space="preserve">Gabriel Samra</x:t>
        </x:is>
      </x:c>
      <x:c r="F237" t="inlineStr">
        <x:is>
          <x:t xml:space="preserve">GS005</x:t>
        </x:is>
      </x:c>
      <x:c r="G237" t="inlineStr">
        <x:is>
          <x:t xml:space="preserve">Hair Oil Serum</x:t>
        </x:is>
      </x:c>
      <x:c r="H237" t="inlineStr">
        <x:is>
          <x:t xml:space="preserve">Styling</x:t>
        </x:is>
      </x:c>
      <x:c r="I237" t="inlineStr">
        <x:is>
          <x:t xml:space="preserve">Olivia</x:t>
        </x:is>
      </x:c>
      <x:c r="J237" t="n">
        <x:v>43</x:v>
      </x:c>
      <x:c r="K237" t="n">
        <x:v>30.83</x:v>
      </x:c>
      <x:c r="L237" t="n">
        <x:v>101.01</x:v>
      </x:c>
      <x:c r="M237" t="n">
        <x:v>0</x:v>
      </x:c>
      <x:c r="N237" t="n">
        <x:v>4343.43</x:v>
      </x:c>
      <x:c r="O237" t="n">
        <x:v>1325.69</x:v>
      </x:c>
      <x:c r="P237" t="n">
        <x:v>3017.74</x:v>
      </x:c>
      <x:c r="Q237" t="n">
        <x:v>69.48</x:v>
      </x:c>
      <x:c r="R237" t="inlineStr">
        <x:is>
          <x:t xml:space="preserve">Credit Card</x:t>
        </x:is>
      </x:c>
      <x:c r="S237" t="inlineStr">
        <x:is>
          <x:t xml:space="preserve">Returning</x:t>
        </x:is>
      </x:c>
    </x:row>
    <x:row r="238">
      <x:c r="A238" t="inlineStr">
        <x:is>
          <x:t xml:space="preserve">T100238</x:t>
        </x:is>
      </x:c>
      <x:c r="B238" s="10" t="n">
        <x:v>45717</x:v>
      </x:c>
      <x:c r="C238" t="inlineStr">
        <x:is>
          <x:t xml:space="preserve">S001</x:t>
        </x:is>
      </x:c>
      <x:c r="D238" t="inlineStr">
        <x:is>
          <x:t xml:space="preserve">Miami Design District</x:t>
        </x:is>
      </x:c>
      <x:c r="E238" t="inlineStr">
        <x:is>
          <x:t xml:space="preserve">Gabriel Samra</x:t>
        </x:is>
      </x:c>
      <x:c r="F238" t="inlineStr">
        <x:is>
          <x:t xml:space="preserve">GS005</x:t>
        </x:is>
      </x:c>
      <x:c r="G238" t="inlineStr">
        <x:is>
          <x:t xml:space="preserve">Hair Oil Serum</x:t>
        </x:is>
      </x:c>
      <x:c r="H238" t="inlineStr">
        <x:is>
          <x:t xml:space="preserve">Styling</x:t>
        </x:is>
      </x:c>
      <x:c r="I238" t="inlineStr">
        <x:is>
          <x:t xml:space="preserve">Sophia</x:t>
        </x:is>
      </x:c>
      <x:c r="J238" t="n">
        <x:v>37</x:v>
      </x:c>
      <x:c r="K238" t="n">
        <x:v>28.67</x:v>
      </x:c>
      <x:c r="L238" t="n">
        <x:v>81.17</x:v>
      </x:c>
      <x:c r="M238" t="n">
        <x:v>0</x:v>
      </x:c>
      <x:c r="N238" t="n">
        <x:v>3003.29</x:v>
      </x:c>
      <x:c r="O238" t="n">
        <x:v>1060.79</x:v>
      </x:c>
      <x:c r="P238" t="n">
        <x:v>1942.5</x:v>
      </x:c>
      <x:c r="Q238" t="n">
        <x:v>64.68000000000001</x:v>
      </x:c>
      <x:c r="R238" t="inlineStr">
        <x:is>
          <x:t xml:space="preserve">Cash</x:t>
        </x:is>
      </x:c>
      <x:c r="S238" t="inlineStr">
        <x:is>
          <x:t xml:space="preserve">New</x:t>
        </x:is>
      </x:c>
    </x:row>
    <x:row r="239">
      <x:c r="A239" t="inlineStr">
        <x:is>
          <x:t xml:space="preserve">T100239</x:t>
        </x:is>
      </x:c>
      <x:c r="B239" s="10" t="n">
        <x:v>45748</x:v>
      </x:c>
      <x:c r="C239" t="inlineStr">
        <x:is>
          <x:t xml:space="preserve">S001</x:t>
        </x:is>
      </x:c>
      <x:c r="D239" t="inlineStr">
        <x:is>
          <x:t xml:space="preserve">Miami Design District</x:t>
        </x:is>
      </x:c>
      <x:c r="E239" t="inlineStr">
        <x:is>
          <x:t xml:space="preserve">Gabriel Samra</x:t>
        </x:is>
      </x:c>
      <x:c r="F239" t="inlineStr">
        <x:is>
          <x:t xml:space="preserve">GS005</x:t>
        </x:is>
      </x:c>
      <x:c r="G239" t="inlineStr">
        <x:is>
          <x:t xml:space="preserve">Hair Oil Serum</x:t>
        </x:is>
      </x:c>
      <x:c r="H239" t="inlineStr">
        <x:is>
          <x:t xml:space="preserve">Styling</x:t>
        </x:is>
      </x:c>
      <x:c r="I239" t="inlineStr">
        <x:is>
          <x:t xml:space="preserve">Olivia</x:t>
        </x:is>
      </x:c>
      <x:c r="J239" t="n">
        <x:v>40</x:v>
      </x:c>
      <x:c r="K239" t="n">
        <x:v>28.99</x:v>
      </x:c>
      <x:c r="L239" t="n">
        <x:v>60.54</x:v>
      </x:c>
      <x:c r="M239" t="n">
        <x:v>10</x:v>
      </x:c>
      <x:c r="N239" t="n">
        <x:v>2421.6</x:v>
      </x:c>
      <x:c r="O239" t="n">
        <x:v>1159.6</x:v>
      </x:c>
      <x:c r="P239" t="n">
        <x:v>1262</x:v>
      </x:c>
      <x:c r="Q239" t="n">
        <x:v>52.11</x:v>
      </x:c>
      <x:c r="R239" t="inlineStr">
        <x:is>
          <x:t xml:space="preserve">Cash</x:t>
        </x:is>
      </x:c>
      <x:c r="S239" t="inlineStr">
        <x:is>
          <x:t xml:space="preserve">New</x:t>
        </x:is>
      </x:c>
    </x:row>
    <x:row r="240">
      <x:c r="A240" t="inlineStr">
        <x:is>
          <x:t xml:space="preserve">T100240</x:t>
        </x:is>
      </x:c>
      <x:c r="B240" s="10" t="n">
        <x:v>45778</x:v>
      </x:c>
      <x:c r="C240" t="inlineStr">
        <x:is>
          <x:t xml:space="preserve">S001</x:t>
        </x:is>
      </x:c>
      <x:c r="D240" t="inlineStr">
        <x:is>
          <x:t xml:space="preserve">Miami Design District</x:t>
        </x:is>
      </x:c>
      <x:c r="E240" t="inlineStr">
        <x:is>
          <x:t xml:space="preserve">Gabriel Samra</x:t>
        </x:is>
      </x:c>
      <x:c r="F240" t="inlineStr">
        <x:is>
          <x:t xml:space="preserve">GS005</x:t>
        </x:is>
      </x:c>
      <x:c r="G240" t="inlineStr">
        <x:is>
          <x:t xml:space="preserve">Hair Oil Serum</x:t>
        </x:is>
      </x:c>
      <x:c r="H240" t="inlineStr">
        <x:is>
          <x:t xml:space="preserve">Styling</x:t>
        </x:is>
      </x:c>
      <x:c r="I240" t="inlineStr">
        <x:is>
          <x:t xml:space="preserve">Olivia</x:t>
        </x:is>
      </x:c>
      <x:c r="J240" t="n">
        <x:v>39</x:v>
      </x:c>
      <x:c r="K240" t="n">
        <x:v>17.93</x:v>
      </x:c>
      <x:c r="L240" t="n">
        <x:v>57.97</x:v>
      </x:c>
      <x:c r="M240" t="n">
        <x:v>5</x:v>
      </x:c>
      <x:c r="N240" t="n">
        <x:v>2260.83</x:v>
      </x:c>
      <x:c r="O240" t="n">
        <x:v>699.27</x:v>
      </x:c>
      <x:c r="P240" t="n">
        <x:v>1561.56</x:v>
      </x:c>
      <x:c r="Q240" t="n">
        <x:v>69.06999999999999</x:v>
      </x:c>
      <x:c r="R240" t="inlineStr">
        <x:is>
          <x:t xml:space="preserve">Credit Card</x:t>
        </x:is>
      </x:c>
      <x:c r="S240" t="inlineStr">
        <x:is>
          <x:t xml:space="preserve">Returning</x:t>
        </x:is>
      </x:c>
    </x:row>
    <x:row r="241">
      <x:c r="A241" t="inlineStr">
        <x:is>
          <x:t xml:space="preserve">T100241</x:t>
        </x:is>
      </x:c>
      <x:c r="B241" s="10" t="n">
        <x:v>45809</x:v>
      </x:c>
      <x:c r="C241" t="inlineStr">
        <x:is>
          <x:t xml:space="preserve">S001</x:t>
        </x:is>
      </x:c>
      <x:c r="D241" t="inlineStr">
        <x:is>
          <x:t xml:space="preserve">Miami Design District</x:t>
        </x:is>
      </x:c>
      <x:c r="E241" t="inlineStr">
        <x:is>
          <x:t xml:space="preserve">Gabriel Samra</x:t>
        </x:is>
      </x:c>
      <x:c r="F241" t="inlineStr">
        <x:is>
          <x:t xml:space="preserve">GS005</x:t>
        </x:is>
      </x:c>
      <x:c r="G241" t="inlineStr">
        <x:is>
          <x:t xml:space="preserve">Hair Oil Serum</x:t>
        </x:is>
      </x:c>
      <x:c r="H241" t="inlineStr">
        <x:is>
          <x:t xml:space="preserve">Styling</x:t>
        </x:is>
      </x:c>
      <x:c r="I241" t="inlineStr">
        <x:is>
          <x:t xml:space="preserve">Olivia</x:t>
        </x:is>
      </x:c>
      <x:c r="J241" t="n">
        <x:v>47</x:v>
      </x:c>
      <x:c r="K241" t="n">
        <x:v>22.42</x:v>
      </x:c>
      <x:c r="L241" t="n">
        <x:v>69.83</x:v>
      </x:c>
      <x:c r="M241" t="n">
        <x:v>10</x:v>
      </x:c>
      <x:c r="N241" t="n">
        <x:v>3282.01</x:v>
      </x:c>
      <x:c r="O241" t="n">
        <x:v>1053.74</x:v>
      </x:c>
      <x:c r="P241" t="n">
        <x:v>2228.27</x:v>
      </x:c>
      <x:c r="Q241" t="n">
        <x:v>67.89</x:v>
      </x:c>
      <x:c r="R241" t="inlineStr">
        <x:is>
          <x:t xml:space="preserve">Cash</x:t>
        </x:is>
      </x:c>
      <x:c r="S241" t="inlineStr">
        <x:is>
          <x:t xml:space="preserve">Returning</x:t>
        </x:is>
      </x:c>
    </x:row>
    <x:row r="242">
      <x:c r="A242" t="inlineStr">
        <x:is>
          <x:t xml:space="preserve">T100242</x:t>
        </x:is>
      </x:c>
      <x:c r="B242" s="10" t="n">
        <x:v>45292</x:v>
      </x:c>
      <x:c r="C242" t="inlineStr">
        <x:is>
          <x:t xml:space="preserve">S002</x:t>
        </x:is>
      </x:c>
      <x:c r="D242" t="inlineStr">
        <x:is>
          <x:t xml:space="preserve">Brickell</x:t>
        </x:is>
      </x:c>
      <x:c r="E242" t="inlineStr">
        <x:is>
          <x:t xml:space="preserve">Gabriel Samra</x:t>
        </x:is>
      </x:c>
      <x:c r="F242" t="inlineStr">
        <x:is>
          <x:t xml:space="preserve">GS001</x:t>
        </x:is>
      </x:c>
      <x:c r="G242" t="inlineStr">
        <x:is>
          <x:t xml:space="preserve">Keratin Treatment</x:t>
        </x:is>
      </x:c>
      <x:c r="H242" t="inlineStr">
        <x:is>
          <x:t xml:space="preserve">Hair Treatment</x:t>
        </x:is>
      </x:c>
      <x:c r="I242" t="inlineStr">
        <x:is>
          <x:t xml:space="preserve">Olivia</x:t>
        </x:is>
      </x:c>
      <x:c r="J242" t="n">
        <x:v>55</x:v>
      </x:c>
      <x:c r="K242" t="n">
        <x:v>18.68</x:v>
      </x:c>
      <x:c r="L242" t="n">
        <x:v>60.87</x:v>
      </x:c>
      <x:c r="M242" t="n">
        <x:v>0</x:v>
      </x:c>
      <x:c r="N242" t="n">
        <x:v>3347.85</x:v>
      </x:c>
      <x:c r="O242" t="n">
        <x:v>1027.4</x:v>
      </x:c>
      <x:c r="P242" t="n">
        <x:v>2320.45</x:v>
      </x:c>
      <x:c r="Q242" t="n">
        <x:v>69.31</x:v>
      </x:c>
      <x:c r="R242" t="inlineStr">
        <x:is>
          <x:t xml:space="preserve">Cash</x:t>
        </x:is>
      </x:c>
      <x:c r="S242" t="inlineStr">
        <x:is>
          <x:t xml:space="preserve">Returning</x:t>
        </x:is>
      </x:c>
    </x:row>
    <x:row r="243">
      <x:c r="A243" t="inlineStr">
        <x:is>
          <x:t xml:space="preserve">T100243</x:t>
        </x:is>
      </x:c>
      <x:c r="B243" s="10" t="n">
        <x:v>45323</x:v>
      </x:c>
      <x:c r="C243" t="inlineStr">
        <x:is>
          <x:t xml:space="preserve">S002</x:t>
        </x:is>
      </x:c>
      <x:c r="D243" t="inlineStr">
        <x:is>
          <x:t xml:space="preserve">Brickell</x:t>
        </x:is>
      </x:c>
      <x:c r="E243" t="inlineStr">
        <x:is>
          <x:t xml:space="preserve">Gabriel Samra</x:t>
        </x:is>
      </x:c>
      <x:c r="F243" t="inlineStr">
        <x:is>
          <x:t xml:space="preserve">GS001</x:t>
        </x:is>
      </x:c>
      <x:c r="G243" t="inlineStr">
        <x:is>
          <x:t xml:space="preserve">Keratin Treatment</x:t>
        </x:is>
      </x:c>
      <x:c r="H243" t="inlineStr">
        <x:is>
          <x:t xml:space="preserve">Hair Treatment</x:t>
        </x:is>
      </x:c>
      <x:c r="I243" t="inlineStr">
        <x:is>
          <x:t xml:space="preserve">Emma</x:t>
        </x:is>
      </x:c>
      <x:c r="J243" t="n">
        <x:v>49</x:v>
      </x:c>
      <x:c r="K243" t="n">
        <x:v>31.81</x:v>
      </x:c>
      <x:c r="L243" t="n">
        <x:v>65.23999999999999</x:v>
      </x:c>
      <x:c r="M243" t="n">
        <x:v>0</x:v>
      </x:c>
      <x:c r="N243" t="n">
        <x:v>3196.76</x:v>
      </x:c>
      <x:c r="O243" t="n">
        <x:v>1558.69</x:v>
      </x:c>
      <x:c r="P243" t="n">
        <x:v>1638.07</x:v>
      </x:c>
      <x:c r="Q243" t="n">
        <x:v>51.24</x:v>
      </x:c>
      <x:c r="R243" t="inlineStr">
        <x:is>
          <x:t xml:space="preserve">Credit Card</x:t>
        </x:is>
      </x:c>
      <x:c r="S243" t="inlineStr">
        <x:is>
          <x:t xml:space="preserve">Returning</x:t>
        </x:is>
      </x:c>
    </x:row>
    <x:row r="244">
      <x:c r="A244" t="inlineStr">
        <x:is>
          <x:t xml:space="preserve">T100244</x:t>
        </x:is>
      </x:c>
      <x:c r="B244" s="10" t="n">
        <x:v>45352</x:v>
      </x:c>
      <x:c r="C244" t="inlineStr">
        <x:is>
          <x:t xml:space="preserve">S002</x:t>
        </x:is>
      </x:c>
      <x:c r="D244" t="inlineStr">
        <x:is>
          <x:t xml:space="preserve">Brickell</x:t>
        </x:is>
      </x:c>
      <x:c r="E244" t="inlineStr">
        <x:is>
          <x:t xml:space="preserve">Gabriel Samra</x:t>
        </x:is>
      </x:c>
      <x:c r="F244" t="inlineStr">
        <x:is>
          <x:t xml:space="preserve">GS001</x:t>
        </x:is>
      </x:c>
      <x:c r="G244" t="inlineStr">
        <x:is>
          <x:t xml:space="preserve">Keratin Treatment</x:t>
        </x:is>
      </x:c>
      <x:c r="H244" t="inlineStr">
        <x:is>
          <x:t xml:space="preserve">Hair Treatment</x:t>
        </x:is>
      </x:c>
      <x:c r="I244" t="inlineStr">
        <x:is>
          <x:t xml:space="preserve">Sophia</x:t>
        </x:is>
      </x:c>
      <x:c r="J244" t="n">
        <x:v>100</x:v>
      </x:c>
      <x:c r="K244" t="n">
        <x:v>21.57</x:v>
      </x:c>
      <x:c r="L244" t="n">
        <x:v>47.78</x:v>
      </x:c>
      <x:c r="M244" t="n">
        <x:v>0</x:v>
      </x:c>
      <x:c r="N244" t="n">
        <x:v>4778</x:v>
      </x:c>
      <x:c r="O244" t="n">
        <x:v>2157</x:v>
      </x:c>
      <x:c r="P244" t="n">
        <x:v>2621</x:v>
      </x:c>
      <x:c r="Q244" t="n">
        <x:v>54.86</x:v>
      </x:c>
      <x:c r="R244" t="inlineStr">
        <x:is>
          <x:t xml:space="preserve">Apple Pay</x:t>
        </x:is>
      </x:c>
      <x:c r="S244" t="inlineStr">
        <x:is>
          <x:t xml:space="preserve">New</x:t>
        </x:is>
      </x:c>
    </x:row>
    <x:row r="245">
      <x:c r="A245" t="inlineStr">
        <x:is>
          <x:t xml:space="preserve">T100245</x:t>
        </x:is>
      </x:c>
      <x:c r="B245" s="10" t="n">
        <x:v>45383</x:v>
      </x:c>
      <x:c r="C245" t="inlineStr">
        <x:is>
          <x:t xml:space="preserve">S002</x:t>
        </x:is>
      </x:c>
      <x:c r="D245" t="inlineStr">
        <x:is>
          <x:t xml:space="preserve">Brickell</x:t>
        </x:is>
      </x:c>
      <x:c r="E245" t="inlineStr">
        <x:is>
          <x:t xml:space="preserve">Gabriel Samra</x:t>
        </x:is>
      </x:c>
      <x:c r="F245" t="inlineStr">
        <x:is>
          <x:t xml:space="preserve">GS001</x:t>
        </x:is>
      </x:c>
      <x:c r="G245" t="inlineStr">
        <x:is>
          <x:t xml:space="preserve">Keratin Treatment</x:t>
        </x:is>
      </x:c>
      <x:c r="H245" t="inlineStr">
        <x:is>
          <x:t xml:space="preserve">Hair Treatment</x:t>
        </x:is>
      </x:c>
      <x:c r="I245" t="inlineStr">
        <x:is>
          <x:t xml:space="preserve">Sophia</x:t>
        </x:is>
      </x:c>
      <x:c r="J245" t="n">
        <x:v>66</x:v>
      </x:c>
      <x:c r="K245" t="n">
        <x:v>13.3</x:v>
      </x:c>
      <x:c r="L245" t="n">
        <x:v>31.52</x:v>
      </x:c>
      <x:c r="M245" t="n">
        <x:v>0</x:v>
      </x:c>
      <x:c r="N245" t="n">
        <x:v>2080.32</x:v>
      </x:c>
      <x:c r="O245" t="n">
        <x:v>877.8</x:v>
      </x:c>
      <x:c r="P245" t="n">
        <x:v>1202.52</x:v>
      </x:c>
      <x:c r="Q245" t="n">
        <x:v>57.8</x:v>
      </x:c>
      <x:c r="R245" t="inlineStr">
        <x:is>
          <x:t xml:space="preserve">Credit Card</x:t>
        </x:is>
      </x:c>
      <x:c r="S245" t="inlineStr">
        <x:is>
          <x:t xml:space="preserve">New</x:t>
        </x:is>
      </x:c>
    </x:row>
    <x:row r="246">
      <x:c r="A246" t="inlineStr">
        <x:is>
          <x:t xml:space="preserve">T100246</x:t>
        </x:is>
      </x:c>
      <x:c r="B246" s="10" t="n">
        <x:v>45413</x:v>
      </x:c>
      <x:c r="C246" t="inlineStr">
        <x:is>
          <x:t xml:space="preserve">S002</x:t>
        </x:is>
      </x:c>
      <x:c r="D246" t="inlineStr">
        <x:is>
          <x:t xml:space="preserve">Brickell</x:t>
        </x:is>
      </x:c>
      <x:c r="E246" t="inlineStr">
        <x:is>
          <x:t xml:space="preserve">Gabriel Samra</x:t>
        </x:is>
      </x:c>
      <x:c r="F246" t="inlineStr">
        <x:is>
          <x:t xml:space="preserve">GS001</x:t>
        </x:is>
      </x:c>
      <x:c r="G246" t="inlineStr">
        <x:is>
          <x:t xml:space="preserve">Keratin Treatment</x:t>
        </x:is>
      </x:c>
      <x:c r="H246" t="inlineStr">
        <x:is>
          <x:t xml:space="preserve">Hair Treatment</x:t>
        </x:is>
      </x:c>
      <x:c r="I246" t="inlineStr">
        <x:is>
          <x:t xml:space="preserve">Olivia</x:t>
        </x:is>
      </x:c>
      <x:c r="J246" t="n">
        <x:v>65</x:v>
      </x:c>
      <x:c r="K246" t="n">
        <x:v>32.02</x:v>
      </x:c>
      <x:c r="L246" t="n">
        <x:v>77.65000000000001</x:v>
      </x:c>
      <x:c r="M246" t="n">
        <x:v>5</x:v>
      </x:c>
      <x:c r="N246" t="n">
        <x:v>5047.25</x:v>
      </x:c>
      <x:c r="O246" t="n">
        <x:v>2081.3</x:v>
      </x:c>
      <x:c r="P246" t="n">
        <x:v>2965.95</x:v>
      </x:c>
      <x:c r="Q246" t="n">
        <x:v>58.76</x:v>
      </x:c>
      <x:c r="R246" t="inlineStr">
        <x:is>
          <x:t xml:space="preserve">Apple Pay</x:t>
        </x:is>
      </x:c>
      <x:c r="S246" t="inlineStr">
        <x:is>
          <x:t xml:space="preserve">New</x:t>
        </x:is>
      </x:c>
    </x:row>
    <x:row r="247">
      <x:c r="A247" t="inlineStr">
        <x:is>
          <x:t xml:space="preserve">T100247</x:t>
        </x:is>
      </x:c>
      <x:c r="B247" s="10" t="n">
        <x:v>45444</x:v>
      </x:c>
      <x:c r="C247" t="inlineStr">
        <x:is>
          <x:t xml:space="preserve">S002</x:t>
        </x:is>
      </x:c>
      <x:c r="D247" t="inlineStr">
        <x:is>
          <x:t xml:space="preserve">Brickell</x:t>
        </x:is>
      </x:c>
      <x:c r="E247" t="inlineStr">
        <x:is>
          <x:t xml:space="preserve">Gabriel Samra</x:t>
        </x:is>
      </x:c>
      <x:c r="F247" t="inlineStr">
        <x:is>
          <x:t xml:space="preserve">GS001</x:t>
        </x:is>
      </x:c>
      <x:c r="G247" t="inlineStr">
        <x:is>
          <x:t xml:space="preserve">Keratin Treatment</x:t>
        </x:is>
      </x:c>
      <x:c r="H247" t="inlineStr">
        <x:is>
          <x:t xml:space="preserve">Hair Treatment</x:t>
        </x:is>
      </x:c>
      <x:c r="I247" t="inlineStr">
        <x:is>
          <x:t xml:space="preserve">Daniel</x:t>
        </x:is>
      </x:c>
      <x:c r="J247" t="n">
        <x:v>74</x:v>
      </x:c>
      <x:c r="K247" t="n">
        <x:v>14.11</x:v>
      </x:c>
      <x:c r="L247" t="n">
        <x:v>38.79</x:v>
      </x:c>
      <x:c r="M247" t="n">
        <x:v>0</x:v>
      </x:c>
      <x:c r="N247" t="n">
        <x:v>2870.46</x:v>
      </x:c>
      <x:c r="O247" t="n">
        <x:v>1044.14</x:v>
      </x:c>
      <x:c r="P247" t="n">
        <x:v>1826.32</x:v>
      </x:c>
      <x:c r="Q247" t="n">
        <x:v>63.62</x:v>
      </x:c>
      <x:c r="R247" t="inlineStr">
        <x:is>
          <x:t xml:space="preserve">Cash</x:t>
        </x:is>
      </x:c>
      <x:c r="S247" t="inlineStr">
        <x:is>
          <x:t xml:space="preserve">Returning</x:t>
        </x:is>
      </x:c>
    </x:row>
    <x:row r="248">
      <x:c r="A248" t="inlineStr">
        <x:is>
          <x:t xml:space="preserve">T100248</x:t>
        </x:is>
      </x:c>
      <x:c r="B248" s="10" t="n">
        <x:v>45474</x:v>
      </x:c>
      <x:c r="C248" t="inlineStr">
        <x:is>
          <x:t xml:space="preserve">S002</x:t>
        </x:is>
      </x:c>
      <x:c r="D248" t="inlineStr">
        <x:is>
          <x:t xml:space="preserve">Brickell</x:t>
        </x:is>
      </x:c>
      <x:c r="E248" t="inlineStr">
        <x:is>
          <x:t xml:space="preserve">Gabriel Samra</x:t>
        </x:is>
      </x:c>
      <x:c r="F248" t="inlineStr">
        <x:is>
          <x:t xml:space="preserve">GS001</x:t>
        </x:is>
      </x:c>
      <x:c r="G248" t="inlineStr">
        <x:is>
          <x:t xml:space="preserve">Keratin Treatment</x:t>
        </x:is>
      </x:c>
      <x:c r="H248" t="inlineStr">
        <x:is>
          <x:t xml:space="preserve">Hair Treatment</x:t>
        </x:is>
      </x:c>
      <x:c r="I248" t="inlineStr">
        <x:is>
          <x:t xml:space="preserve">Lucas</x:t>
        </x:is>
      </x:c>
      <x:c r="J248" t="n">
        <x:v>73</x:v>
      </x:c>
      <x:c r="K248" t="n">
        <x:v>28.96</x:v>
      </x:c>
      <x:c r="L248" t="n">
        <x:v>76.23999999999999</x:v>
      </x:c>
      <x:c r="M248" t="n">
        <x:v>0</x:v>
      </x:c>
      <x:c r="N248" t="n">
        <x:v>5565.52</x:v>
      </x:c>
      <x:c r="O248" t="n">
        <x:v>2114.08</x:v>
      </x:c>
      <x:c r="P248" t="n">
        <x:v>3451.44</x:v>
      </x:c>
      <x:c r="Q248" t="n">
        <x:v>62.01</x:v>
      </x:c>
      <x:c r="R248" t="inlineStr">
        <x:is>
          <x:t xml:space="preserve">Apple Pay</x:t>
        </x:is>
      </x:c>
      <x:c r="S248" t="inlineStr">
        <x:is>
          <x:t xml:space="preserve">Returning</x:t>
        </x:is>
      </x:c>
    </x:row>
    <x:row r="249">
      <x:c r="A249" t="inlineStr">
        <x:is>
          <x:t xml:space="preserve">T100249</x:t>
        </x:is>
      </x:c>
      <x:c r="B249" s="10" t="n">
        <x:v>45505</x:v>
      </x:c>
      <x:c r="C249" t="inlineStr">
        <x:is>
          <x:t xml:space="preserve">S002</x:t>
        </x:is>
      </x:c>
      <x:c r="D249" t="inlineStr">
        <x:is>
          <x:t xml:space="preserve">Brickell</x:t>
        </x:is>
      </x:c>
      <x:c r="E249" t="inlineStr">
        <x:is>
          <x:t xml:space="preserve">Gabriel Samra</x:t>
        </x:is>
      </x:c>
      <x:c r="F249" t="inlineStr">
        <x:is>
          <x:t xml:space="preserve">GS001</x:t>
        </x:is>
      </x:c>
      <x:c r="G249" t="inlineStr">
        <x:is>
          <x:t xml:space="preserve">Keratin Treatment</x:t>
        </x:is>
      </x:c>
      <x:c r="H249" t="inlineStr">
        <x:is>
          <x:t xml:space="preserve">Hair Treatment</x:t>
        </x:is>
      </x:c>
      <x:c r="I249" t="inlineStr">
        <x:is>
          <x:t xml:space="preserve">Daniel</x:t>
        </x:is>
      </x:c>
      <x:c r="J249" t="n">
        <x:v>86</x:v>
      </x:c>
      <x:c r="K249" t="n">
        <x:v>30.54</x:v>
      </x:c>
      <x:c r="L249" t="n">
        <x:v>77.16</x:v>
      </x:c>
      <x:c r="M249" t="n">
        <x:v>5</x:v>
      </x:c>
      <x:c r="N249" t="n">
        <x:v>6635.76</x:v>
      </x:c>
      <x:c r="O249" t="n">
        <x:v>2626.44</x:v>
      </x:c>
      <x:c r="P249" t="n">
        <x:v>4009.32</x:v>
      </x:c>
      <x:c r="Q249" t="n">
        <x:v>60.42</x:v>
      </x:c>
      <x:c r="R249" t="inlineStr">
        <x:is>
          <x:t xml:space="preserve">Credit Card</x:t>
        </x:is>
      </x:c>
      <x:c r="S249" t="inlineStr">
        <x:is>
          <x:t xml:space="preserve">New</x:t>
        </x:is>
      </x:c>
    </x:row>
    <x:row r="250">
      <x:c r="A250" t="inlineStr">
        <x:is>
          <x:t xml:space="preserve">T100250</x:t>
        </x:is>
      </x:c>
      <x:c r="B250" s="10" t="n">
        <x:v>45536</x:v>
      </x:c>
      <x:c r="C250" t="inlineStr">
        <x:is>
          <x:t xml:space="preserve">S002</x:t>
        </x:is>
      </x:c>
      <x:c r="D250" t="inlineStr">
        <x:is>
          <x:t xml:space="preserve">Brickell</x:t>
        </x:is>
      </x:c>
      <x:c r="E250" t="inlineStr">
        <x:is>
          <x:t xml:space="preserve">Gabriel Samra</x:t>
        </x:is>
      </x:c>
      <x:c r="F250" t="inlineStr">
        <x:is>
          <x:t xml:space="preserve">GS001</x:t>
        </x:is>
      </x:c>
      <x:c r="G250" t="inlineStr">
        <x:is>
          <x:t xml:space="preserve">Keratin Treatment</x:t>
        </x:is>
      </x:c>
      <x:c r="H250" t="inlineStr">
        <x:is>
          <x:t xml:space="preserve">Hair Treatment</x:t>
        </x:is>
      </x:c>
      <x:c r="I250" t="inlineStr">
        <x:is>
          <x:t xml:space="preserve">Lucas</x:t>
        </x:is>
      </x:c>
      <x:c r="J250" t="n">
        <x:v>75</x:v>
      </x:c>
      <x:c r="K250" t="n">
        <x:v>26.73</x:v>
      </x:c>
      <x:c r="L250" t="n">
        <x:v>91.83</x:v>
      </x:c>
      <x:c r="M250" t="n">
        <x:v>0</x:v>
      </x:c>
      <x:c r="N250" t="n">
        <x:v>6887.25</x:v>
      </x:c>
      <x:c r="O250" t="n">
        <x:v>2004.75</x:v>
      </x:c>
      <x:c r="P250" t="n">
        <x:v>4882.5</x:v>
      </x:c>
      <x:c r="Q250" t="n">
        <x:v>70.89</x:v>
      </x:c>
      <x:c r="R250" t="inlineStr">
        <x:is>
          <x:t xml:space="preserve">Cash</x:t>
        </x:is>
      </x:c>
      <x:c r="S250" t="inlineStr">
        <x:is>
          <x:t xml:space="preserve">New</x:t>
        </x:is>
      </x:c>
    </x:row>
    <x:row r="251">
      <x:c r="A251" t="inlineStr">
        <x:is>
          <x:t xml:space="preserve">T100251</x:t>
        </x:is>
      </x:c>
      <x:c r="B251" s="10" t="n">
        <x:v>45566</x:v>
      </x:c>
      <x:c r="C251" t="inlineStr">
        <x:is>
          <x:t xml:space="preserve">S002</x:t>
        </x:is>
      </x:c>
      <x:c r="D251" t="inlineStr">
        <x:is>
          <x:t xml:space="preserve">Brickell</x:t>
        </x:is>
      </x:c>
      <x:c r="E251" t="inlineStr">
        <x:is>
          <x:t xml:space="preserve">Gabriel Samra</x:t>
        </x:is>
      </x:c>
      <x:c r="F251" t="inlineStr">
        <x:is>
          <x:t xml:space="preserve">GS001</x:t>
        </x:is>
      </x:c>
      <x:c r="G251" t="inlineStr">
        <x:is>
          <x:t xml:space="preserve">Keratin Treatment</x:t>
        </x:is>
      </x:c>
      <x:c r="H251" t="inlineStr">
        <x:is>
          <x:t xml:space="preserve">Hair Treatment</x:t>
        </x:is>
      </x:c>
      <x:c r="I251" t="inlineStr">
        <x:is>
          <x:t xml:space="preserve">Sophia</x:t>
        </x:is>
      </x:c>
      <x:c r="J251" t="n">
        <x:v>96</x:v>
      </x:c>
      <x:c r="K251" t="n">
        <x:v>32.01</x:v>
      </x:c>
      <x:c r="L251" t="n">
        <x:v>93.98</x:v>
      </x:c>
      <x:c r="M251" t="n">
        <x:v>0</x:v>
      </x:c>
      <x:c r="N251" t="n">
        <x:v>9022.08</x:v>
      </x:c>
      <x:c r="O251" t="n">
        <x:v>3072.96</x:v>
      </x:c>
      <x:c r="P251" t="n">
        <x:v>5949.12</x:v>
      </x:c>
      <x:c r="Q251" t="n">
        <x:v>65.94</x:v>
      </x:c>
      <x:c r="R251" t="inlineStr">
        <x:is>
          <x:t xml:space="preserve">Cash</x:t>
        </x:is>
      </x:c>
      <x:c r="S251" t="inlineStr">
        <x:is>
          <x:t xml:space="preserve">New</x:t>
        </x:is>
      </x:c>
    </x:row>
    <x:row r="252">
      <x:c r="A252" t="inlineStr">
        <x:is>
          <x:t xml:space="preserve">T100252</x:t>
        </x:is>
      </x:c>
      <x:c r="B252" s="10" t="n">
        <x:v>45597</x:v>
      </x:c>
      <x:c r="C252" t="inlineStr">
        <x:is>
          <x:t xml:space="preserve">S002</x:t>
        </x:is>
      </x:c>
      <x:c r="D252" t="inlineStr">
        <x:is>
          <x:t xml:space="preserve">Brickell</x:t>
        </x:is>
      </x:c>
      <x:c r="E252" t="inlineStr">
        <x:is>
          <x:t xml:space="preserve">Gabriel Samra</x:t>
        </x:is>
      </x:c>
      <x:c r="F252" t="inlineStr">
        <x:is>
          <x:t xml:space="preserve">GS001</x:t>
        </x:is>
      </x:c>
      <x:c r="G252" t="inlineStr">
        <x:is>
          <x:t xml:space="preserve">Keratin Treatment</x:t>
        </x:is>
      </x:c>
      <x:c r="H252" t="inlineStr">
        <x:is>
          <x:t xml:space="preserve">Hair Treatment</x:t>
        </x:is>
      </x:c>
      <x:c r="I252" t="inlineStr">
        <x:is>
          <x:t xml:space="preserve">Daniel</x:t>
        </x:is>
      </x:c>
      <x:c r="J252" t="n">
        <x:v>106</x:v>
      </x:c>
      <x:c r="K252" t="n">
        <x:v>27.96</x:v>
      </x:c>
      <x:c r="L252" t="n">
        <x:v>63.21</x:v>
      </x:c>
      <x:c r="M252" t="n">
        <x:v>0</x:v>
      </x:c>
      <x:c r="N252" t="n">
        <x:v>6700.26</x:v>
      </x:c>
      <x:c r="O252" t="n">
        <x:v>2963.76</x:v>
      </x:c>
      <x:c r="P252" t="n">
        <x:v>3736.5</x:v>
      </x:c>
      <x:c r="Q252" t="n">
        <x:v>55.77</x:v>
      </x:c>
      <x:c r="R252" t="inlineStr">
        <x:is>
          <x:t xml:space="preserve">Credit Card</x:t>
        </x:is>
      </x:c>
      <x:c r="S252" t="inlineStr">
        <x:is>
          <x:t xml:space="preserve">Returning</x:t>
        </x:is>
      </x:c>
    </x:row>
    <x:row r="253">
      <x:c r="A253" t="inlineStr">
        <x:is>
          <x:t xml:space="preserve">T100253</x:t>
        </x:is>
      </x:c>
      <x:c r="B253" s="10" t="n">
        <x:v>45627</x:v>
      </x:c>
      <x:c r="C253" t="inlineStr">
        <x:is>
          <x:t xml:space="preserve">S002</x:t>
        </x:is>
      </x:c>
      <x:c r="D253" t="inlineStr">
        <x:is>
          <x:t xml:space="preserve">Brickell</x:t>
        </x:is>
      </x:c>
      <x:c r="E253" t="inlineStr">
        <x:is>
          <x:t xml:space="preserve">Gabriel Samra</x:t>
        </x:is>
      </x:c>
      <x:c r="F253" t="inlineStr">
        <x:is>
          <x:t xml:space="preserve">GS001</x:t>
        </x:is>
      </x:c>
      <x:c r="G253" t="inlineStr">
        <x:is>
          <x:t xml:space="preserve">Keratin Treatment</x:t>
        </x:is>
      </x:c>
      <x:c r="H253" t="inlineStr">
        <x:is>
          <x:t xml:space="preserve">Hair Treatment</x:t>
        </x:is>
      </x:c>
      <x:c r="I253" t="inlineStr">
        <x:is>
          <x:t xml:space="preserve">Lucas</x:t>
        </x:is>
      </x:c>
      <x:c r="J253" t="n">
        <x:v>106</x:v>
      </x:c>
      <x:c r="K253" t="n">
        <x:v>29.92</x:v>
      </x:c>
      <x:c r="L253" t="n">
        <x:v>88.15000000000001</x:v>
      </x:c>
      <x:c r="M253" t="n">
        <x:v>0</x:v>
      </x:c>
      <x:c r="N253" t="n">
        <x:v>9343.9</x:v>
      </x:c>
      <x:c r="O253" t="n">
        <x:v>3171.52</x:v>
      </x:c>
      <x:c r="P253" t="n">
        <x:v>6172.38</x:v>
      </x:c>
      <x:c r="Q253" t="n">
        <x:v>66.06</x:v>
      </x:c>
      <x:c r="R253" t="inlineStr">
        <x:is>
          <x:t xml:space="preserve">Credit Card</x:t>
        </x:is>
      </x:c>
      <x:c r="S253" t="inlineStr">
        <x:is>
          <x:t xml:space="preserve">Returning</x:t>
        </x:is>
      </x:c>
    </x:row>
    <x:row r="254">
      <x:c r="A254" t="inlineStr">
        <x:is>
          <x:t xml:space="preserve">T100254</x:t>
        </x:is>
      </x:c>
      <x:c r="B254" s="10" t="n">
        <x:v>45658</x:v>
      </x:c>
      <x:c r="C254" t="inlineStr">
        <x:is>
          <x:t xml:space="preserve">S002</x:t>
        </x:is>
      </x:c>
      <x:c r="D254" t="inlineStr">
        <x:is>
          <x:t xml:space="preserve">Brickell</x:t>
        </x:is>
      </x:c>
      <x:c r="E254" t="inlineStr">
        <x:is>
          <x:t xml:space="preserve">Gabriel Samra</x:t>
        </x:is>
      </x:c>
      <x:c r="F254" t="inlineStr">
        <x:is>
          <x:t xml:space="preserve">GS001</x:t>
        </x:is>
      </x:c>
      <x:c r="G254" t="inlineStr">
        <x:is>
          <x:t xml:space="preserve">Keratin Treatment</x:t>
        </x:is>
      </x:c>
      <x:c r="H254" t="inlineStr">
        <x:is>
          <x:t xml:space="preserve">Hair Treatment</x:t>
        </x:is>
      </x:c>
      <x:c r="I254" t="inlineStr">
        <x:is>
          <x:t xml:space="preserve">Sophia</x:t>
        </x:is>
      </x:c>
      <x:c r="J254" t="n">
        <x:v>82</x:v>
      </x:c>
      <x:c r="K254" t="n">
        <x:v>17.2</x:v>
      </x:c>
      <x:c r="L254" t="n">
        <x:v>49.37</x:v>
      </x:c>
      <x:c r="M254" t="n">
        <x:v>5</x:v>
      </x:c>
      <x:c r="N254" t="n">
        <x:v>4048.34</x:v>
      </x:c>
      <x:c r="O254" t="n">
        <x:v>1410.4</x:v>
      </x:c>
      <x:c r="P254" t="n">
        <x:v>2637.94</x:v>
      </x:c>
      <x:c r="Q254" t="n">
        <x:v>65.16</x:v>
      </x:c>
      <x:c r="R254" t="inlineStr">
        <x:is>
          <x:t xml:space="preserve">Apple Pay</x:t>
        </x:is>
      </x:c>
      <x:c r="S254" t="inlineStr">
        <x:is>
          <x:t xml:space="preserve">New</x:t>
        </x:is>
      </x:c>
    </x:row>
    <x:row r="255">
      <x:c r="A255" t="inlineStr">
        <x:is>
          <x:t xml:space="preserve">T100255</x:t>
        </x:is>
      </x:c>
      <x:c r="B255" s="10" t="n">
        <x:v>45689</x:v>
      </x:c>
      <x:c r="C255" t="inlineStr">
        <x:is>
          <x:t xml:space="preserve">S002</x:t>
        </x:is>
      </x:c>
      <x:c r="D255" t="inlineStr">
        <x:is>
          <x:t xml:space="preserve">Brickell</x:t>
        </x:is>
      </x:c>
      <x:c r="E255" t="inlineStr">
        <x:is>
          <x:t xml:space="preserve">Gabriel Samra</x:t>
        </x:is>
      </x:c>
      <x:c r="F255" t="inlineStr">
        <x:is>
          <x:t xml:space="preserve">GS001</x:t>
        </x:is>
      </x:c>
      <x:c r="G255" t="inlineStr">
        <x:is>
          <x:t xml:space="preserve">Keratin Treatment</x:t>
        </x:is>
      </x:c>
      <x:c r="H255" t="inlineStr">
        <x:is>
          <x:t xml:space="preserve">Hair Treatment</x:t>
        </x:is>
      </x:c>
      <x:c r="I255" t="inlineStr">
        <x:is>
          <x:t xml:space="preserve">Daniel</x:t>
        </x:is>
      </x:c>
      <x:c r="J255" t="n">
        <x:v>106</x:v>
      </x:c>
      <x:c r="K255" t="n">
        <x:v>14.28</x:v>
      </x:c>
      <x:c r="L255" t="n">
        <x:v>29.23</x:v>
      </x:c>
      <x:c r="M255" t="n">
        <x:v>0</x:v>
      </x:c>
      <x:c r="N255" t="n">
        <x:v>3098.38</x:v>
      </x:c>
      <x:c r="O255" t="n">
        <x:v>1513.68</x:v>
      </x:c>
      <x:c r="P255" t="n">
        <x:v>1584.7</x:v>
      </x:c>
      <x:c r="Q255" t="n">
        <x:v>51.15</x:v>
      </x:c>
      <x:c r="R255" t="inlineStr">
        <x:is>
          <x:t xml:space="preserve">Apple Pay</x:t>
        </x:is>
      </x:c>
      <x:c r="S255" t="inlineStr">
        <x:is>
          <x:t xml:space="preserve">Returning</x:t>
        </x:is>
      </x:c>
    </x:row>
    <x:row r="256">
      <x:c r="A256" t="inlineStr">
        <x:is>
          <x:t xml:space="preserve">T100256</x:t>
        </x:is>
      </x:c>
      <x:c r="B256" s="10" t="n">
        <x:v>45717</x:v>
      </x:c>
      <x:c r="C256" t="inlineStr">
        <x:is>
          <x:t xml:space="preserve">S002</x:t>
        </x:is>
      </x:c>
      <x:c r="D256" t="inlineStr">
        <x:is>
          <x:t xml:space="preserve">Brickell</x:t>
        </x:is>
      </x:c>
      <x:c r="E256" t="inlineStr">
        <x:is>
          <x:t xml:space="preserve">Gabriel Samra</x:t>
        </x:is>
      </x:c>
      <x:c r="F256" t="inlineStr">
        <x:is>
          <x:t xml:space="preserve">GS001</x:t>
        </x:is>
      </x:c>
      <x:c r="G256" t="inlineStr">
        <x:is>
          <x:t xml:space="preserve">Keratin Treatment</x:t>
        </x:is>
      </x:c>
      <x:c r="H256" t="inlineStr">
        <x:is>
          <x:t xml:space="preserve">Hair Treatment</x:t>
        </x:is>
      </x:c>
      <x:c r="I256" t="inlineStr">
        <x:is>
          <x:t xml:space="preserve">Sophia</x:t>
        </x:is>
      </x:c>
      <x:c r="J256" t="n">
        <x:v>126</x:v>
      </x:c>
      <x:c r="K256" t="n">
        <x:v>17.05</x:v>
      </x:c>
      <x:c r="L256" t="n">
        <x:v>40.17</x:v>
      </x:c>
      <x:c r="M256" t="n">
        <x:v>0</x:v>
      </x:c>
      <x:c r="N256" t="n">
        <x:v>5061.42</x:v>
      </x:c>
      <x:c r="O256" t="n">
        <x:v>2148.3</x:v>
      </x:c>
      <x:c r="P256" t="n">
        <x:v>2913.12</x:v>
      </x:c>
      <x:c r="Q256" t="n">
        <x:v>57.56</x:v>
      </x:c>
      <x:c r="R256" t="inlineStr">
        <x:is>
          <x:t xml:space="preserve">Credit Card</x:t>
        </x:is>
      </x:c>
      <x:c r="S256" t="inlineStr">
        <x:is>
          <x:t xml:space="preserve">New</x:t>
        </x:is>
      </x:c>
    </x:row>
    <x:row r="257">
      <x:c r="A257" t="inlineStr">
        <x:is>
          <x:t xml:space="preserve">T100257</x:t>
        </x:is>
      </x:c>
      <x:c r="B257" s="10" t="n">
        <x:v>45748</x:v>
      </x:c>
      <x:c r="C257" t="inlineStr">
        <x:is>
          <x:t xml:space="preserve">S002</x:t>
        </x:is>
      </x:c>
      <x:c r="D257" t="inlineStr">
        <x:is>
          <x:t xml:space="preserve">Brickell</x:t>
        </x:is>
      </x:c>
      <x:c r="E257" t="inlineStr">
        <x:is>
          <x:t xml:space="preserve">Gabriel Samra</x:t>
        </x:is>
      </x:c>
      <x:c r="F257" t="inlineStr">
        <x:is>
          <x:t xml:space="preserve">GS001</x:t>
        </x:is>
      </x:c>
      <x:c r="G257" t="inlineStr">
        <x:is>
          <x:t xml:space="preserve">Keratin Treatment</x:t>
        </x:is>
      </x:c>
      <x:c r="H257" t="inlineStr">
        <x:is>
          <x:t xml:space="preserve">Hair Treatment</x:t>
        </x:is>
      </x:c>
      <x:c r="I257" t="inlineStr">
        <x:is>
          <x:t xml:space="preserve">Emma</x:t>
        </x:is>
      </x:c>
      <x:c r="J257" t="n">
        <x:v>113</x:v>
      </x:c>
      <x:c r="K257" t="n">
        <x:v>17.48</x:v>
      </x:c>
      <x:c r="L257" t="n">
        <x:v>56.56</x:v>
      </x:c>
      <x:c r="M257" t="n">
        <x:v>5</x:v>
      </x:c>
      <x:c r="N257" t="n">
        <x:v>6391.28</x:v>
      </x:c>
      <x:c r="O257" t="n">
        <x:v>1975.24</x:v>
      </x:c>
      <x:c r="P257" t="n">
        <x:v>4416.04</x:v>
      </x:c>
      <x:c r="Q257" t="n">
        <x:v>69.09</x:v>
      </x:c>
      <x:c r="R257" t="inlineStr">
        <x:is>
          <x:t xml:space="preserve">Cash</x:t>
        </x:is>
      </x:c>
      <x:c r="S257" t="inlineStr">
        <x:is>
          <x:t xml:space="preserve">Returning</x:t>
        </x:is>
      </x:c>
    </x:row>
    <x:row r="258">
      <x:c r="A258" t="inlineStr">
        <x:is>
          <x:t xml:space="preserve">T100258</x:t>
        </x:is>
      </x:c>
      <x:c r="B258" s="10" t="n">
        <x:v>45778</x:v>
      </x:c>
      <x:c r="C258" t="inlineStr">
        <x:is>
          <x:t xml:space="preserve">S002</x:t>
        </x:is>
      </x:c>
      <x:c r="D258" t="inlineStr">
        <x:is>
          <x:t xml:space="preserve">Brickell</x:t>
        </x:is>
      </x:c>
      <x:c r="E258" t="inlineStr">
        <x:is>
          <x:t xml:space="preserve">Gabriel Samra</x:t>
        </x:is>
      </x:c>
      <x:c r="F258" t="inlineStr">
        <x:is>
          <x:t xml:space="preserve">GS001</x:t>
        </x:is>
      </x:c>
      <x:c r="G258" t="inlineStr">
        <x:is>
          <x:t xml:space="preserve">Keratin Treatment</x:t>
        </x:is>
      </x:c>
      <x:c r="H258" t="inlineStr">
        <x:is>
          <x:t xml:space="preserve">Hair Treatment</x:t>
        </x:is>
      </x:c>
      <x:c r="I258" t="inlineStr">
        <x:is>
          <x:t xml:space="preserve">Olivia</x:t>
        </x:is>
      </x:c>
      <x:c r="J258" t="n">
        <x:v>136</x:v>
      </x:c>
      <x:c r="K258" t="n">
        <x:v>25.42</x:v>
      </x:c>
      <x:c r="L258" t="n">
        <x:v>66.59999999999999</x:v>
      </x:c>
      <x:c r="M258" t="n">
        <x:v>0</x:v>
      </x:c>
      <x:c r="N258" t="n">
        <x:v>9057.6</x:v>
      </x:c>
      <x:c r="O258" t="n">
        <x:v>3457.12</x:v>
      </x:c>
      <x:c r="P258" t="n">
        <x:v>5600.48</x:v>
      </x:c>
      <x:c r="Q258" t="n">
        <x:v>61.83</x:v>
      </x:c>
      <x:c r="R258" t="inlineStr">
        <x:is>
          <x:t xml:space="preserve">Apple Pay</x:t>
        </x:is>
      </x:c>
      <x:c r="S258" t="inlineStr">
        <x:is>
          <x:t xml:space="preserve">Returning</x:t>
        </x:is>
      </x:c>
    </x:row>
    <x:row r="259">
      <x:c r="A259" t="inlineStr">
        <x:is>
          <x:t xml:space="preserve">T100259</x:t>
        </x:is>
      </x:c>
      <x:c r="B259" s="10" t="n">
        <x:v>45809</x:v>
      </x:c>
      <x:c r="C259" t="inlineStr">
        <x:is>
          <x:t xml:space="preserve">S002</x:t>
        </x:is>
      </x:c>
      <x:c r="D259" t="inlineStr">
        <x:is>
          <x:t xml:space="preserve">Brickell</x:t>
        </x:is>
      </x:c>
      <x:c r="E259" t="inlineStr">
        <x:is>
          <x:t xml:space="preserve">Gabriel Samra</x:t>
        </x:is>
      </x:c>
      <x:c r="F259" t="inlineStr">
        <x:is>
          <x:t xml:space="preserve">GS001</x:t>
        </x:is>
      </x:c>
      <x:c r="G259" t="inlineStr">
        <x:is>
          <x:t xml:space="preserve">Keratin Treatment</x:t>
        </x:is>
      </x:c>
      <x:c r="H259" t="inlineStr">
        <x:is>
          <x:t xml:space="preserve">Hair Treatment</x:t>
        </x:is>
      </x:c>
      <x:c r="I259" t="inlineStr">
        <x:is>
          <x:t xml:space="preserve">Olivia</x:t>
        </x:is>
      </x:c>
      <x:c r="J259" t="n">
        <x:v>126</x:v>
      </x:c>
      <x:c r="K259" t="n">
        <x:v>25.47</x:v>
      </x:c>
      <x:c r="L259" t="n">
        <x:v>83.17</x:v>
      </x:c>
      <x:c r="M259" t="n">
        <x:v>0</x:v>
      </x:c>
      <x:c r="N259" t="n">
        <x:v>10479.42</x:v>
      </x:c>
      <x:c r="O259" t="n">
        <x:v>3209.22</x:v>
      </x:c>
      <x:c r="P259" t="n">
        <x:v>7270.2</x:v>
      </x:c>
      <x:c r="Q259" t="n">
        <x:v>69.38</x:v>
      </x:c>
      <x:c r="R259" t="inlineStr">
        <x:is>
          <x:t xml:space="preserve">Apple Pay</x:t>
        </x:is>
      </x:c>
      <x:c r="S259" t="inlineStr">
        <x:is>
          <x:t xml:space="preserve">Returning</x:t>
        </x:is>
      </x:c>
    </x:row>
    <x:row r="260">
      <x:c r="A260" t="inlineStr">
        <x:is>
          <x:t xml:space="preserve">T100260</x:t>
        </x:is>
      </x:c>
      <x:c r="B260" s="10" t="n">
        <x:v>45292</x:v>
      </x:c>
      <x:c r="C260" t="inlineStr">
        <x:is>
          <x:t xml:space="preserve">S002</x:t>
        </x:is>
      </x:c>
      <x:c r="D260" t="inlineStr">
        <x:is>
          <x:t xml:space="preserve">Brickell</x:t>
        </x:is>
      </x:c>
      <x:c r="E260" t="inlineStr">
        <x:is>
          <x:t xml:space="preserve">Gabriel Samra</x:t>
        </x:is>
      </x:c>
      <x:c r="F260" t="inlineStr">
        <x:is>
          <x:t xml:space="preserve">GS002</x:t>
        </x:is>
      </x:c>
      <x:c r="G260" t="inlineStr">
        <x:is>
          <x:t xml:space="preserve">Hydration Shampoo</x:t>
        </x:is>
      </x:c>
      <x:c r="H260" t="inlineStr">
        <x:is>
          <x:t xml:space="preserve">Hair Care</x:t>
        </x:is>
      </x:c>
      <x:c r="I260" t="inlineStr">
        <x:is>
          <x:t xml:space="preserve">Lucas</x:t>
        </x:is>
      </x:c>
      <x:c r="J260" t="n">
        <x:v>31</x:v>
      </x:c>
      <x:c r="K260" t="n">
        <x:v>23.02</x:v>
      </x:c>
      <x:c r="L260" t="n">
        <x:v>64.68000000000001</x:v>
      </x:c>
      <x:c r="M260" t="n">
        <x:v>5</x:v>
      </x:c>
      <x:c r="N260" t="n">
        <x:v>2005.08</x:v>
      </x:c>
      <x:c r="O260" t="n">
        <x:v>713.62</x:v>
      </x:c>
      <x:c r="P260" t="n">
        <x:v>1291.46</x:v>
      </x:c>
      <x:c r="Q260" t="n">
        <x:v>64.41</x:v>
      </x:c>
      <x:c r="R260" t="inlineStr">
        <x:is>
          <x:t xml:space="preserve">Cash</x:t>
        </x:is>
      </x:c>
      <x:c r="S260" t="inlineStr">
        <x:is>
          <x:t xml:space="preserve">New</x:t>
        </x:is>
      </x:c>
    </x:row>
    <x:row r="261">
      <x:c r="A261" t="inlineStr">
        <x:is>
          <x:t xml:space="preserve">T100261</x:t>
        </x:is>
      </x:c>
      <x:c r="B261" s="10" t="n">
        <x:v>45323</x:v>
      </x:c>
      <x:c r="C261" t="inlineStr">
        <x:is>
          <x:t xml:space="preserve">S002</x:t>
        </x:is>
      </x:c>
      <x:c r="D261" t="inlineStr">
        <x:is>
          <x:t xml:space="preserve">Brickell</x:t>
        </x:is>
      </x:c>
      <x:c r="E261" t="inlineStr">
        <x:is>
          <x:t xml:space="preserve">Gabriel Samra</x:t>
        </x:is>
      </x:c>
      <x:c r="F261" t="inlineStr">
        <x:is>
          <x:t xml:space="preserve">GS002</x:t>
        </x:is>
      </x:c>
      <x:c r="G261" t="inlineStr">
        <x:is>
          <x:t xml:space="preserve">Hydration Shampoo</x:t>
        </x:is>
      </x:c>
      <x:c r="H261" t="inlineStr">
        <x:is>
          <x:t xml:space="preserve">Hair Care</x:t>
        </x:is>
      </x:c>
      <x:c r="I261" t="inlineStr">
        <x:is>
          <x:t xml:space="preserve">Daniel</x:t>
        </x:is>
      </x:c>
      <x:c r="J261" t="n">
        <x:v>29</x:v>
      </x:c>
      <x:c r="K261" t="n">
        <x:v>22.42</x:v>
      </x:c>
      <x:c r="L261" t="n">
        <x:v>77.06999999999999</x:v>
      </x:c>
      <x:c r="M261" t="n">
        <x:v>10</x:v>
      </x:c>
      <x:c r="N261" t="n">
        <x:v>2235.03</x:v>
      </x:c>
      <x:c r="O261" t="n">
        <x:v>650.1799999999999</x:v>
      </x:c>
      <x:c r="P261" t="n">
        <x:v>1584.85</x:v>
      </x:c>
      <x:c r="Q261" t="n">
        <x:v>70.91</x:v>
      </x:c>
      <x:c r="R261" t="inlineStr">
        <x:is>
          <x:t xml:space="preserve">Credit Card</x:t>
        </x:is>
      </x:c>
      <x:c r="S261" t="inlineStr">
        <x:is>
          <x:t xml:space="preserve">Returning</x:t>
        </x:is>
      </x:c>
    </x:row>
    <x:row r="262">
      <x:c r="A262" t="inlineStr">
        <x:is>
          <x:t xml:space="preserve">T100262</x:t>
        </x:is>
      </x:c>
      <x:c r="B262" s="10" t="n">
        <x:v>45352</x:v>
      </x:c>
      <x:c r="C262" t="inlineStr">
        <x:is>
          <x:t xml:space="preserve">S002</x:t>
        </x:is>
      </x:c>
      <x:c r="D262" t="inlineStr">
        <x:is>
          <x:t xml:space="preserve">Brickell</x:t>
        </x:is>
      </x:c>
      <x:c r="E262" t="inlineStr">
        <x:is>
          <x:t xml:space="preserve">Gabriel Samra</x:t>
        </x:is>
      </x:c>
      <x:c r="F262" t="inlineStr">
        <x:is>
          <x:t xml:space="preserve">GS002</x:t>
        </x:is>
      </x:c>
      <x:c r="G262" t="inlineStr">
        <x:is>
          <x:t xml:space="preserve">Hydration Shampoo</x:t>
        </x:is>
      </x:c>
      <x:c r="H262" t="inlineStr">
        <x:is>
          <x:t xml:space="preserve">Hair Care</x:t>
        </x:is>
      </x:c>
      <x:c r="I262" t="inlineStr">
        <x:is>
          <x:t xml:space="preserve">Sophia</x:t>
        </x:is>
      </x:c>
      <x:c r="J262" t="n">
        <x:v>35</x:v>
      </x:c>
      <x:c r="K262" t="n">
        <x:v>31.07</x:v>
      </x:c>
      <x:c r="L262" t="n">
        <x:v>97.67</x:v>
      </x:c>
      <x:c r="M262" t="n">
        <x:v>0</x:v>
      </x:c>
      <x:c r="N262" t="n">
        <x:v>3418.45</x:v>
      </x:c>
      <x:c r="O262" t="n">
        <x:v>1087.45</x:v>
      </x:c>
      <x:c r="P262" t="n">
        <x:v>2331</x:v>
      </x:c>
      <x:c r="Q262" t="n">
        <x:v>68.19</x:v>
      </x:c>
      <x:c r="R262" t="inlineStr">
        <x:is>
          <x:t xml:space="preserve">Apple Pay</x:t>
        </x:is>
      </x:c>
      <x:c r="S262" t="inlineStr">
        <x:is>
          <x:t xml:space="preserve">New</x:t>
        </x:is>
      </x:c>
    </x:row>
    <x:row r="263">
      <x:c r="A263" t="inlineStr">
        <x:is>
          <x:t xml:space="preserve">T100263</x:t>
        </x:is>
      </x:c>
      <x:c r="B263" s="10" t="n">
        <x:v>45383</x:v>
      </x:c>
      <x:c r="C263" t="inlineStr">
        <x:is>
          <x:t xml:space="preserve">S002</x:t>
        </x:is>
      </x:c>
      <x:c r="D263" t="inlineStr">
        <x:is>
          <x:t xml:space="preserve">Brickell</x:t>
        </x:is>
      </x:c>
      <x:c r="E263" t="inlineStr">
        <x:is>
          <x:t xml:space="preserve">Gabriel Samra</x:t>
        </x:is>
      </x:c>
      <x:c r="F263" t="inlineStr">
        <x:is>
          <x:t xml:space="preserve">GS002</x:t>
        </x:is>
      </x:c>
      <x:c r="G263" t="inlineStr">
        <x:is>
          <x:t xml:space="preserve">Hydration Shampoo</x:t>
        </x:is>
      </x:c>
      <x:c r="H263" t="inlineStr">
        <x:is>
          <x:t xml:space="preserve">Hair Care</x:t>
        </x:is>
      </x:c>
      <x:c r="I263" t="inlineStr">
        <x:is>
          <x:t xml:space="preserve">Olivia</x:t>
        </x:is>
      </x:c>
      <x:c r="J263" t="n">
        <x:v>34</x:v>
      </x:c>
      <x:c r="K263" t="n">
        <x:v>15.07</x:v>
      </x:c>
      <x:c r="L263" t="n">
        <x:v>52.57</x:v>
      </x:c>
      <x:c r="M263" t="n">
        <x:v>0</x:v>
      </x:c>
      <x:c r="N263" t="n">
        <x:v>1787.38</x:v>
      </x:c>
      <x:c r="O263" t="n">
        <x:v>512.38</x:v>
      </x:c>
      <x:c r="P263" t="n">
        <x:v>1275</x:v>
      </x:c>
      <x:c r="Q263" t="n">
        <x:v>71.33</x:v>
      </x:c>
      <x:c r="R263" t="inlineStr">
        <x:is>
          <x:t xml:space="preserve">Apple Pay</x:t>
        </x:is>
      </x:c>
      <x:c r="S263" t="inlineStr">
        <x:is>
          <x:t xml:space="preserve">Returning</x:t>
        </x:is>
      </x:c>
    </x:row>
    <x:row r="264">
      <x:c r="A264" t="inlineStr">
        <x:is>
          <x:t xml:space="preserve">T100264</x:t>
        </x:is>
      </x:c>
      <x:c r="B264" s="10" t="n">
        <x:v>45413</x:v>
      </x:c>
      <x:c r="C264" t="inlineStr">
        <x:is>
          <x:t xml:space="preserve">S002</x:t>
        </x:is>
      </x:c>
      <x:c r="D264" t="inlineStr">
        <x:is>
          <x:t xml:space="preserve">Brickell</x:t>
        </x:is>
      </x:c>
      <x:c r="E264" t="inlineStr">
        <x:is>
          <x:t xml:space="preserve">Gabriel Samra</x:t>
        </x:is>
      </x:c>
      <x:c r="F264" t="inlineStr">
        <x:is>
          <x:t xml:space="preserve">GS002</x:t>
        </x:is>
      </x:c>
      <x:c r="G264" t="inlineStr">
        <x:is>
          <x:t xml:space="preserve">Hydration Shampoo</x:t>
        </x:is>
      </x:c>
      <x:c r="H264" t="inlineStr">
        <x:is>
          <x:t xml:space="preserve">Hair Care</x:t>
        </x:is>
      </x:c>
      <x:c r="I264" t="inlineStr">
        <x:is>
          <x:t xml:space="preserve">Sophia</x:t>
        </x:is>
      </x:c>
      <x:c r="J264" t="n">
        <x:v>41</x:v>
      </x:c>
      <x:c r="K264" t="n">
        <x:v>27.67</x:v>
      </x:c>
      <x:c r="L264" t="n">
        <x:v>76.84</x:v>
      </x:c>
      <x:c r="M264" t="n">
        <x:v>10</x:v>
      </x:c>
      <x:c r="N264" t="n">
        <x:v>3150.44</x:v>
      </x:c>
      <x:c r="O264" t="n">
        <x:v>1134.47</x:v>
      </x:c>
      <x:c r="P264" t="n">
        <x:v>2015.97</x:v>
      </x:c>
      <x:c r="Q264" t="n">
        <x:v>63.99</x:v>
      </x:c>
      <x:c r="R264" t="inlineStr">
        <x:is>
          <x:t xml:space="preserve">Apple Pay</x:t>
        </x:is>
      </x:c>
      <x:c r="S264" t="inlineStr">
        <x:is>
          <x:t xml:space="preserve">New</x:t>
        </x:is>
      </x:c>
    </x:row>
    <x:row r="265">
      <x:c r="A265" t="inlineStr">
        <x:is>
          <x:t xml:space="preserve">T100265</x:t>
        </x:is>
      </x:c>
      <x:c r="B265" s="10" t="n">
        <x:v>45444</x:v>
      </x:c>
      <x:c r="C265" t="inlineStr">
        <x:is>
          <x:t xml:space="preserve">S002</x:t>
        </x:is>
      </x:c>
      <x:c r="D265" t="inlineStr">
        <x:is>
          <x:t xml:space="preserve">Brickell</x:t>
        </x:is>
      </x:c>
      <x:c r="E265" t="inlineStr">
        <x:is>
          <x:t xml:space="preserve">Gabriel Samra</x:t>
        </x:is>
      </x:c>
      <x:c r="F265" t="inlineStr">
        <x:is>
          <x:t xml:space="preserve">GS002</x:t>
        </x:is>
      </x:c>
      <x:c r="G265" t="inlineStr">
        <x:is>
          <x:t xml:space="preserve">Hydration Shampoo</x:t>
        </x:is>
      </x:c>
      <x:c r="H265" t="inlineStr">
        <x:is>
          <x:t xml:space="preserve">Hair Care</x:t>
        </x:is>
      </x:c>
      <x:c r="I265" t="inlineStr">
        <x:is>
          <x:t xml:space="preserve">Emma</x:t>
        </x:is>
      </x:c>
      <x:c r="J265" t="n">
        <x:v>43</x:v>
      </x:c>
      <x:c r="K265" t="n">
        <x:v>19.38</x:v>
      </x:c>
      <x:c r="L265" t="n">
        <x:v>61.49</x:v>
      </x:c>
      <x:c r="M265" t="n">
        <x:v>5</x:v>
      </x:c>
      <x:c r="N265" t="n">
        <x:v>2644.07</x:v>
      </x:c>
      <x:c r="O265" t="n">
        <x:v>833.34</x:v>
      </x:c>
      <x:c r="P265" t="n">
        <x:v>1810.73</x:v>
      </x:c>
      <x:c r="Q265" t="n">
        <x:v>68.48</x:v>
      </x:c>
      <x:c r="R265" t="inlineStr">
        <x:is>
          <x:t xml:space="preserve">Apple Pay</x:t>
        </x:is>
      </x:c>
      <x:c r="S265" t="inlineStr">
        <x:is>
          <x:t xml:space="preserve">Returning</x:t>
        </x:is>
      </x:c>
    </x:row>
    <x:row r="266">
      <x:c r="A266" t="inlineStr">
        <x:is>
          <x:t xml:space="preserve">T100266</x:t>
        </x:is>
      </x:c>
      <x:c r="B266" s="10" t="n">
        <x:v>45474</x:v>
      </x:c>
      <x:c r="C266" t="inlineStr">
        <x:is>
          <x:t xml:space="preserve">S002</x:t>
        </x:is>
      </x:c>
      <x:c r="D266" t="inlineStr">
        <x:is>
          <x:t xml:space="preserve">Brickell</x:t>
        </x:is>
      </x:c>
      <x:c r="E266" t="inlineStr">
        <x:is>
          <x:t xml:space="preserve">Gabriel Samra</x:t>
        </x:is>
      </x:c>
      <x:c r="F266" t="inlineStr">
        <x:is>
          <x:t xml:space="preserve">GS002</x:t>
        </x:is>
      </x:c>
      <x:c r="G266" t="inlineStr">
        <x:is>
          <x:t xml:space="preserve">Hydration Shampoo</x:t>
        </x:is>
      </x:c>
      <x:c r="H266" t="inlineStr">
        <x:is>
          <x:t xml:space="preserve">Hair Care</x:t>
        </x:is>
      </x:c>
      <x:c r="I266" t="inlineStr">
        <x:is>
          <x:t xml:space="preserve">Sophia</x:t>
        </x:is>
      </x:c>
      <x:c r="J266" t="n">
        <x:v>49</x:v>
      </x:c>
      <x:c r="K266" t="n">
        <x:v>21</x:v>
      </x:c>
      <x:c r="L266" t="n">
        <x:v>71.84999999999999</x:v>
      </x:c>
      <x:c r="M266" t="n">
        <x:v>0</x:v>
      </x:c>
      <x:c r="N266" t="n">
        <x:v>3520.65</x:v>
      </x:c>
      <x:c r="O266" t="n">
        <x:v>1029</x:v>
      </x:c>
      <x:c r="P266" t="n">
        <x:v>2491.65</x:v>
      </x:c>
      <x:c r="Q266" t="n">
        <x:v>70.77</x:v>
      </x:c>
      <x:c r="R266" t="inlineStr">
        <x:is>
          <x:t xml:space="preserve">Credit Card</x:t>
        </x:is>
      </x:c>
      <x:c r="S266" t="inlineStr">
        <x:is>
          <x:t xml:space="preserve">Returning</x:t>
        </x:is>
      </x:c>
    </x:row>
    <x:row r="267">
      <x:c r="A267" t="inlineStr">
        <x:is>
          <x:t xml:space="preserve">T100267</x:t>
        </x:is>
      </x:c>
      <x:c r="B267" s="10" t="n">
        <x:v>45505</x:v>
      </x:c>
      <x:c r="C267" t="inlineStr">
        <x:is>
          <x:t xml:space="preserve">S002</x:t>
        </x:is>
      </x:c>
      <x:c r="D267" t="inlineStr">
        <x:is>
          <x:t xml:space="preserve">Brickell</x:t>
        </x:is>
      </x:c>
      <x:c r="E267" t="inlineStr">
        <x:is>
          <x:t xml:space="preserve">Gabriel Samra</x:t>
        </x:is>
      </x:c>
      <x:c r="F267" t="inlineStr">
        <x:is>
          <x:t xml:space="preserve">GS002</x:t>
        </x:is>
      </x:c>
      <x:c r="G267" t="inlineStr">
        <x:is>
          <x:t xml:space="preserve">Hydration Shampoo</x:t>
        </x:is>
      </x:c>
      <x:c r="H267" t="inlineStr">
        <x:is>
          <x:t xml:space="preserve">Hair Care</x:t>
        </x:is>
      </x:c>
      <x:c r="I267" t="inlineStr">
        <x:is>
          <x:t xml:space="preserve">Olivia</x:t>
        </x:is>
      </x:c>
      <x:c r="J267" t="n">
        <x:v>46</x:v>
      </x:c>
      <x:c r="K267" t="n">
        <x:v>26.75</x:v>
      </x:c>
      <x:c r="L267" t="n">
        <x:v>82.29000000000001</x:v>
      </x:c>
      <x:c r="M267" t="n">
        <x:v>0</x:v>
      </x:c>
      <x:c r="N267" t="n">
        <x:v>3785.34</x:v>
      </x:c>
      <x:c r="O267" t="n">
        <x:v>1230.5</x:v>
      </x:c>
      <x:c r="P267" t="n">
        <x:v>2554.84</x:v>
      </x:c>
      <x:c r="Q267" t="n">
        <x:v>67.48999999999999</x:v>
      </x:c>
      <x:c r="R267" t="inlineStr">
        <x:is>
          <x:t xml:space="preserve">Apple Pay</x:t>
        </x:is>
      </x:c>
      <x:c r="S267" t="inlineStr">
        <x:is>
          <x:t xml:space="preserve">New</x:t>
        </x:is>
      </x:c>
    </x:row>
    <x:row r="268">
      <x:c r="A268" t="inlineStr">
        <x:is>
          <x:t xml:space="preserve">T100268</x:t>
        </x:is>
      </x:c>
      <x:c r="B268" s="10" t="n">
        <x:v>45536</x:v>
      </x:c>
      <x:c r="C268" t="inlineStr">
        <x:is>
          <x:t xml:space="preserve">S002</x:t>
        </x:is>
      </x:c>
      <x:c r="D268" t="inlineStr">
        <x:is>
          <x:t xml:space="preserve">Brickell</x:t>
        </x:is>
      </x:c>
      <x:c r="E268" t="inlineStr">
        <x:is>
          <x:t xml:space="preserve">Gabriel Samra</x:t>
        </x:is>
      </x:c>
      <x:c r="F268" t="inlineStr">
        <x:is>
          <x:t xml:space="preserve">GS002</x:t>
        </x:is>
      </x:c>
      <x:c r="G268" t="inlineStr">
        <x:is>
          <x:t xml:space="preserve">Hydration Shampoo</x:t>
        </x:is>
      </x:c>
      <x:c r="H268" t="inlineStr">
        <x:is>
          <x:t xml:space="preserve">Hair Care</x:t>
        </x:is>
      </x:c>
      <x:c r="I268" t="inlineStr">
        <x:is>
          <x:t xml:space="preserve">Sophia</x:t>
        </x:is>
      </x:c>
      <x:c r="J268" t="n">
        <x:v>61</x:v>
      </x:c>
      <x:c r="K268" t="n">
        <x:v>31.4</x:v>
      </x:c>
      <x:c r="L268" t="n">
        <x:v>98.02</x:v>
      </x:c>
      <x:c r="M268" t="n">
        <x:v>5</x:v>
      </x:c>
      <x:c r="N268" t="n">
        <x:v>5979.22</x:v>
      </x:c>
      <x:c r="O268" t="n">
        <x:v>1915.4</x:v>
      </x:c>
      <x:c r="P268" t="n">
        <x:v>4063.82</x:v>
      </x:c>
      <x:c r="Q268" t="n">
        <x:v>67.97</x:v>
      </x:c>
      <x:c r="R268" t="inlineStr">
        <x:is>
          <x:t xml:space="preserve">Credit Card</x:t>
        </x:is>
      </x:c>
      <x:c r="S268" t="inlineStr">
        <x:is>
          <x:t xml:space="preserve">New</x:t>
        </x:is>
      </x:c>
    </x:row>
    <x:row r="269">
      <x:c r="A269" t="inlineStr">
        <x:is>
          <x:t xml:space="preserve">T100269</x:t>
        </x:is>
      </x:c>
      <x:c r="B269" s="10" t="n">
        <x:v>45566</x:v>
      </x:c>
      <x:c r="C269" t="inlineStr">
        <x:is>
          <x:t xml:space="preserve">S002</x:t>
        </x:is>
      </x:c>
      <x:c r="D269" t="inlineStr">
        <x:is>
          <x:t xml:space="preserve">Brickell</x:t>
        </x:is>
      </x:c>
      <x:c r="E269" t="inlineStr">
        <x:is>
          <x:t xml:space="preserve">Gabriel Samra</x:t>
        </x:is>
      </x:c>
      <x:c r="F269" t="inlineStr">
        <x:is>
          <x:t xml:space="preserve">GS002</x:t>
        </x:is>
      </x:c>
      <x:c r="G269" t="inlineStr">
        <x:is>
          <x:t xml:space="preserve">Hydration Shampoo</x:t>
        </x:is>
      </x:c>
      <x:c r="H269" t="inlineStr">
        <x:is>
          <x:t xml:space="preserve">Hair Care</x:t>
        </x:is>
      </x:c>
      <x:c r="I269" t="inlineStr">
        <x:is>
          <x:t xml:space="preserve">Olivia</x:t>
        </x:is>
      </x:c>
      <x:c r="J269" t="n">
        <x:v>60</x:v>
      </x:c>
      <x:c r="K269" t="n">
        <x:v>12.16</x:v>
      </x:c>
      <x:c r="L269" t="n">
        <x:v>36.1</x:v>
      </x:c>
      <x:c r="M269" t="n">
        <x:v>10</x:v>
      </x:c>
      <x:c r="N269" t="n">
        <x:v>2166</x:v>
      </x:c>
      <x:c r="O269" t="n">
        <x:v>729.6</x:v>
      </x:c>
      <x:c r="P269" t="n">
        <x:v>1436.4</x:v>
      </x:c>
      <x:c r="Q269" t="n">
        <x:v>66.31999999999999</x:v>
      </x:c>
      <x:c r="R269" t="inlineStr">
        <x:is>
          <x:t xml:space="preserve">Cash</x:t>
        </x:is>
      </x:c>
      <x:c r="S269" t="inlineStr">
        <x:is>
          <x:t xml:space="preserve">New</x:t>
        </x:is>
      </x:c>
    </x:row>
    <x:row r="270">
      <x:c r="A270" t="inlineStr">
        <x:is>
          <x:t xml:space="preserve">T100270</x:t>
        </x:is>
      </x:c>
      <x:c r="B270" s="10" t="n">
        <x:v>45597</x:v>
      </x:c>
      <x:c r="C270" t="inlineStr">
        <x:is>
          <x:t xml:space="preserve">S002</x:t>
        </x:is>
      </x:c>
      <x:c r="D270" t="inlineStr">
        <x:is>
          <x:t xml:space="preserve">Brickell</x:t>
        </x:is>
      </x:c>
      <x:c r="E270" t="inlineStr">
        <x:is>
          <x:t xml:space="preserve">Gabriel Samra</x:t>
        </x:is>
      </x:c>
      <x:c r="F270" t="inlineStr">
        <x:is>
          <x:t xml:space="preserve">GS002</x:t>
        </x:is>
      </x:c>
      <x:c r="G270" t="inlineStr">
        <x:is>
          <x:t xml:space="preserve">Hydration Shampoo</x:t>
        </x:is>
      </x:c>
      <x:c r="H270" t="inlineStr">
        <x:is>
          <x:t xml:space="preserve">Hair Care</x:t>
        </x:is>
      </x:c>
      <x:c r="I270" t="inlineStr">
        <x:is>
          <x:t xml:space="preserve">Olivia</x:t>
        </x:is>
      </x:c>
      <x:c r="J270" t="n">
        <x:v>65</x:v>
      </x:c>
      <x:c r="K270" t="n">
        <x:v>32.75</x:v>
      </x:c>
      <x:c r="L270" t="n">
        <x:v>95.25</x:v>
      </x:c>
      <x:c r="M270" t="n">
        <x:v>0</x:v>
      </x:c>
      <x:c r="N270" t="n">
        <x:v>6191.25</x:v>
      </x:c>
      <x:c r="O270" t="n">
        <x:v>2128.75</x:v>
      </x:c>
      <x:c r="P270" t="n">
        <x:v>4062.5</x:v>
      </x:c>
      <x:c r="Q270" t="n">
        <x:v>65.62</x:v>
      </x:c>
      <x:c r="R270" t="inlineStr">
        <x:is>
          <x:t xml:space="preserve">Cash</x:t>
        </x:is>
      </x:c>
      <x:c r="S270" t="inlineStr">
        <x:is>
          <x:t xml:space="preserve">Returning</x:t>
        </x:is>
      </x:c>
    </x:row>
    <x:row r="271">
      <x:c r="A271" t="inlineStr">
        <x:is>
          <x:t xml:space="preserve">T100271</x:t>
        </x:is>
      </x:c>
      <x:c r="B271" s="10" t="n">
        <x:v>45627</x:v>
      </x:c>
      <x:c r="C271" t="inlineStr">
        <x:is>
          <x:t xml:space="preserve">S002</x:t>
        </x:is>
      </x:c>
      <x:c r="D271" t="inlineStr">
        <x:is>
          <x:t xml:space="preserve">Brickell</x:t>
        </x:is>
      </x:c>
      <x:c r="E271" t="inlineStr">
        <x:is>
          <x:t xml:space="preserve">Gabriel Samra</x:t>
        </x:is>
      </x:c>
      <x:c r="F271" t="inlineStr">
        <x:is>
          <x:t xml:space="preserve">GS002</x:t>
        </x:is>
      </x:c>
      <x:c r="G271" t="inlineStr">
        <x:is>
          <x:t xml:space="preserve">Hydration Shampoo</x:t>
        </x:is>
      </x:c>
      <x:c r="H271" t="inlineStr">
        <x:is>
          <x:t xml:space="preserve">Hair Care</x:t>
        </x:is>
      </x:c>
      <x:c r="I271" t="inlineStr">
        <x:is>
          <x:t xml:space="preserve">Olivia</x:t>
        </x:is>
      </x:c>
      <x:c r="J271" t="n">
        <x:v>74</x:v>
      </x:c>
      <x:c r="K271" t="n">
        <x:v>28.08</x:v>
      </x:c>
      <x:c r="L271" t="n">
        <x:v>64.29000000000001</x:v>
      </x:c>
      <x:c r="M271" t="n">
        <x:v>5</x:v>
      </x:c>
      <x:c r="N271" t="n">
        <x:v>4757.46</x:v>
      </x:c>
      <x:c r="O271" t="n">
        <x:v>2077.92</x:v>
      </x:c>
      <x:c r="P271" t="n">
        <x:v>2679.54</x:v>
      </x:c>
      <x:c r="Q271" t="n">
        <x:v>56.32</x:v>
      </x:c>
      <x:c r="R271" t="inlineStr">
        <x:is>
          <x:t xml:space="preserve">Credit Card</x:t>
        </x:is>
      </x:c>
      <x:c r="S271" t="inlineStr">
        <x:is>
          <x:t xml:space="preserve">New</x:t>
        </x:is>
      </x:c>
    </x:row>
    <x:row r="272">
      <x:c r="A272" t="inlineStr">
        <x:is>
          <x:t xml:space="preserve">T100272</x:t>
        </x:is>
      </x:c>
      <x:c r="B272" s="10" t="n">
        <x:v>45658</x:v>
      </x:c>
      <x:c r="C272" t="inlineStr">
        <x:is>
          <x:t xml:space="preserve">S002</x:t>
        </x:is>
      </x:c>
      <x:c r="D272" t="inlineStr">
        <x:is>
          <x:t xml:space="preserve">Brickell</x:t>
        </x:is>
      </x:c>
      <x:c r="E272" t="inlineStr">
        <x:is>
          <x:t xml:space="preserve">Gabriel Samra</x:t>
        </x:is>
      </x:c>
      <x:c r="F272" t="inlineStr">
        <x:is>
          <x:t xml:space="preserve">GS002</x:t>
        </x:is>
      </x:c>
      <x:c r="G272" t="inlineStr">
        <x:is>
          <x:t xml:space="preserve">Hydration Shampoo</x:t>
        </x:is>
      </x:c>
      <x:c r="H272" t="inlineStr">
        <x:is>
          <x:t xml:space="preserve">Hair Care</x:t>
        </x:is>
      </x:c>
      <x:c r="I272" t="inlineStr">
        <x:is>
          <x:t xml:space="preserve">Daniel</x:t>
        </x:is>
      </x:c>
      <x:c r="J272" t="n">
        <x:v>81</x:v>
      </x:c>
      <x:c r="K272" t="n">
        <x:v>25.26</x:v>
      </x:c>
      <x:c r="L272" t="n">
        <x:v>56.92</x:v>
      </x:c>
      <x:c r="M272" t="n">
        <x:v>5</x:v>
      </x:c>
      <x:c r="N272" t="n">
        <x:v>4610.52</x:v>
      </x:c>
      <x:c r="O272" t="n">
        <x:v>2046.06</x:v>
      </x:c>
      <x:c r="P272" t="n">
        <x:v>2564.46</x:v>
      </x:c>
      <x:c r="Q272" t="n">
        <x:v>55.62</x:v>
      </x:c>
      <x:c r="R272" t="inlineStr">
        <x:is>
          <x:t xml:space="preserve">Apple Pay</x:t>
        </x:is>
      </x:c>
      <x:c r="S272" t="inlineStr">
        <x:is>
          <x:t xml:space="preserve">New</x:t>
        </x:is>
      </x:c>
    </x:row>
    <x:row r="273">
      <x:c r="A273" t="inlineStr">
        <x:is>
          <x:t xml:space="preserve">T100273</x:t>
        </x:is>
      </x:c>
      <x:c r="B273" s="10" t="n">
        <x:v>45689</x:v>
      </x:c>
      <x:c r="C273" t="inlineStr">
        <x:is>
          <x:t xml:space="preserve">S002</x:t>
        </x:is>
      </x:c>
      <x:c r="D273" t="inlineStr">
        <x:is>
          <x:t xml:space="preserve">Brickell</x:t>
        </x:is>
      </x:c>
      <x:c r="E273" t="inlineStr">
        <x:is>
          <x:t xml:space="preserve">Gabriel Samra</x:t>
        </x:is>
      </x:c>
      <x:c r="F273" t="inlineStr">
        <x:is>
          <x:t xml:space="preserve">GS002</x:t>
        </x:is>
      </x:c>
      <x:c r="G273" t="inlineStr">
        <x:is>
          <x:t xml:space="preserve">Hydration Shampoo</x:t>
        </x:is>
      </x:c>
      <x:c r="H273" t="inlineStr">
        <x:is>
          <x:t xml:space="preserve">Hair Care</x:t>
        </x:is>
      </x:c>
      <x:c r="I273" t="inlineStr">
        <x:is>
          <x:t xml:space="preserve">Sophia</x:t>
        </x:is>
      </x:c>
      <x:c r="J273" t="n">
        <x:v>84</x:v>
      </x:c>
      <x:c r="K273" t="n">
        <x:v>14.8</x:v>
      </x:c>
      <x:c r="L273" t="n">
        <x:v>39.7</x:v>
      </x:c>
      <x:c r="M273" t="n">
        <x:v>0</x:v>
      </x:c>
      <x:c r="N273" t="n">
        <x:v>3334.8</x:v>
      </x:c>
      <x:c r="O273" t="n">
        <x:v>1243.2</x:v>
      </x:c>
      <x:c r="P273" t="n">
        <x:v>2091.6</x:v>
      </x:c>
      <x:c r="Q273" t="n">
        <x:v>62.72</x:v>
      </x:c>
      <x:c r="R273" t="inlineStr">
        <x:is>
          <x:t xml:space="preserve">Cash</x:t>
        </x:is>
      </x:c>
      <x:c r="S273" t="inlineStr">
        <x:is>
          <x:t xml:space="preserve">Returning</x:t>
        </x:is>
      </x:c>
    </x:row>
    <x:row r="274">
      <x:c r="A274" t="inlineStr">
        <x:is>
          <x:t xml:space="preserve">T100274</x:t>
        </x:is>
      </x:c>
      <x:c r="B274" s="10" t="n">
        <x:v>45717</x:v>
      </x:c>
      <x:c r="C274" t="inlineStr">
        <x:is>
          <x:t xml:space="preserve">S002</x:t>
        </x:is>
      </x:c>
      <x:c r="D274" t="inlineStr">
        <x:is>
          <x:t xml:space="preserve">Brickell</x:t>
        </x:is>
      </x:c>
      <x:c r="E274" t="inlineStr">
        <x:is>
          <x:t xml:space="preserve">Gabriel Samra</x:t>
        </x:is>
      </x:c>
      <x:c r="F274" t="inlineStr">
        <x:is>
          <x:t xml:space="preserve">GS002</x:t>
        </x:is>
      </x:c>
      <x:c r="G274" t="inlineStr">
        <x:is>
          <x:t xml:space="preserve">Hydration Shampoo</x:t>
        </x:is>
      </x:c>
      <x:c r="H274" t="inlineStr">
        <x:is>
          <x:t xml:space="preserve">Hair Care</x:t>
        </x:is>
      </x:c>
      <x:c r="I274" t="inlineStr">
        <x:is>
          <x:t xml:space="preserve">Emma</x:t>
        </x:is>
      </x:c>
      <x:c r="J274" t="n">
        <x:v>77</x:v>
      </x:c>
      <x:c r="K274" t="n">
        <x:v>30.64</x:v>
      </x:c>
      <x:c r="L274" t="n">
        <x:v>62.8</x:v>
      </x:c>
      <x:c r="M274" t="n">
        <x:v>0</x:v>
      </x:c>
      <x:c r="N274" t="n">
        <x:v>4835.6</x:v>
      </x:c>
      <x:c r="O274" t="n">
        <x:v>2359.28</x:v>
      </x:c>
      <x:c r="P274" t="n">
        <x:v>2476.32</x:v>
      </x:c>
      <x:c r="Q274" t="n">
        <x:v>51.21</x:v>
      </x:c>
      <x:c r="R274" t="inlineStr">
        <x:is>
          <x:t xml:space="preserve">Apple Pay</x:t>
        </x:is>
      </x:c>
      <x:c r="S274" t="inlineStr">
        <x:is>
          <x:t xml:space="preserve">Returning</x:t>
        </x:is>
      </x:c>
    </x:row>
    <x:row r="275">
      <x:c r="A275" t="inlineStr">
        <x:is>
          <x:t xml:space="preserve">T100275</x:t>
        </x:is>
      </x:c>
      <x:c r="B275" s="10" t="n">
        <x:v>45748</x:v>
      </x:c>
      <x:c r="C275" t="inlineStr">
        <x:is>
          <x:t xml:space="preserve">S002</x:t>
        </x:is>
      </x:c>
      <x:c r="D275" t="inlineStr">
        <x:is>
          <x:t xml:space="preserve">Brickell</x:t>
        </x:is>
      </x:c>
      <x:c r="E275" t="inlineStr">
        <x:is>
          <x:t xml:space="preserve">Gabriel Samra</x:t>
        </x:is>
      </x:c>
      <x:c r="F275" t="inlineStr">
        <x:is>
          <x:t xml:space="preserve">GS002</x:t>
        </x:is>
      </x:c>
      <x:c r="G275" t="inlineStr">
        <x:is>
          <x:t xml:space="preserve">Hydration Shampoo</x:t>
        </x:is>
      </x:c>
      <x:c r="H275" t="inlineStr">
        <x:is>
          <x:t xml:space="preserve">Hair Care</x:t>
        </x:is>
      </x:c>
      <x:c r="I275" t="inlineStr">
        <x:is>
          <x:t xml:space="preserve">Lucas</x:t>
        </x:is>
      </x:c>
      <x:c r="J275" t="n">
        <x:v>100</x:v>
      </x:c>
      <x:c r="K275" t="n">
        <x:v>23.85</x:v>
      </x:c>
      <x:c r="L275" t="n">
        <x:v>56.5</x:v>
      </x:c>
      <x:c r="M275" t="n">
        <x:v>0</x:v>
      </x:c>
      <x:c r="N275" t="n">
        <x:v>5650</x:v>
      </x:c>
      <x:c r="O275" t="n">
        <x:v>2385</x:v>
      </x:c>
      <x:c r="P275" t="n">
        <x:v>3265</x:v>
      </x:c>
      <x:c r="Q275" t="n">
        <x:v>57.79</x:v>
      </x:c>
      <x:c r="R275" t="inlineStr">
        <x:is>
          <x:t xml:space="preserve">Credit Card</x:t>
        </x:is>
      </x:c>
      <x:c r="S275" t="inlineStr">
        <x:is>
          <x:t xml:space="preserve">Returning</x:t>
        </x:is>
      </x:c>
    </x:row>
    <x:row r="276">
      <x:c r="A276" t="inlineStr">
        <x:is>
          <x:t xml:space="preserve">T100276</x:t>
        </x:is>
      </x:c>
      <x:c r="B276" s="10" t="n">
        <x:v>45778</x:v>
      </x:c>
      <x:c r="C276" t="inlineStr">
        <x:is>
          <x:t xml:space="preserve">S002</x:t>
        </x:is>
      </x:c>
      <x:c r="D276" t="inlineStr">
        <x:is>
          <x:t xml:space="preserve">Brickell</x:t>
        </x:is>
      </x:c>
      <x:c r="E276" t="inlineStr">
        <x:is>
          <x:t xml:space="preserve">Gabriel Samra</x:t>
        </x:is>
      </x:c>
      <x:c r="F276" t="inlineStr">
        <x:is>
          <x:t xml:space="preserve">GS002</x:t>
        </x:is>
      </x:c>
      <x:c r="G276" t="inlineStr">
        <x:is>
          <x:t xml:space="preserve">Hydration Shampoo</x:t>
        </x:is>
      </x:c>
      <x:c r="H276" t="inlineStr">
        <x:is>
          <x:t xml:space="preserve">Hair Care</x:t>
        </x:is>
      </x:c>
      <x:c r="I276" t="inlineStr">
        <x:is>
          <x:t xml:space="preserve">Sophia</x:t>
        </x:is>
      </x:c>
      <x:c r="J276" t="n">
        <x:v>99</x:v>
      </x:c>
      <x:c r="K276" t="n">
        <x:v>18.08</x:v>
      </x:c>
      <x:c r="L276" t="n">
        <x:v>48.67</x:v>
      </x:c>
      <x:c r="M276" t="n">
        <x:v>5</x:v>
      </x:c>
      <x:c r="N276" t="n">
        <x:v>4818.33</x:v>
      </x:c>
      <x:c r="O276" t="n">
        <x:v>1789.92</x:v>
      </x:c>
      <x:c r="P276" t="n">
        <x:v>3028.41</x:v>
      </x:c>
      <x:c r="Q276" t="n">
        <x:v>62.85</x:v>
      </x:c>
      <x:c r="R276" t="inlineStr">
        <x:is>
          <x:t xml:space="preserve">Apple Pay</x:t>
        </x:is>
      </x:c>
      <x:c r="S276" t="inlineStr">
        <x:is>
          <x:t xml:space="preserve">Returning</x:t>
        </x:is>
      </x:c>
    </x:row>
    <x:row r="277">
      <x:c r="A277" t="inlineStr">
        <x:is>
          <x:t xml:space="preserve">T100277</x:t>
        </x:is>
      </x:c>
      <x:c r="B277" s="10" t="n">
        <x:v>45809</x:v>
      </x:c>
      <x:c r="C277" t="inlineStr">
        <x:is>
          <x:t xml:space="preserve">S002</x:t>
        </x:is>
      </x:c>
      <x:c r="D277" t="inlineStr">
        <x:is>
          <x:t xml:space="preserve">Brickell</x:t>
        </x:is>
      </x:c>
      <x:c r="E277" t="inlineStr">
        <x:is>
          <x:t xml:space="preserve">Gabriel Samra</x:t>
        </x:is>
      </x:c>
      <x:c r="F277" t="inlineStr">
        <x:is>
          <x:t xml:space="preserve">GS002</x:t>
        </x:is>
      </x:c>
      <x:c r="G277" t="inlineStr">
        <x:is>
          <x:t xml:space="preserve">Hydration Shampoo</x:t>
        </x:is>
      </x:c>
      <x:c r="H277" t="inlineStr">
        <x:is>
          <x:t xml:space="preserve">Hair Care</x:t>
        </x:is>
      </x:c>
      <x:c r="I277" t="inlineStr">
        <x:is>
          <x:t xml:space="preserve">Emma</x:t>
        </x:is>
      </x:c>
      <x:c r="J277" t="n">
        <x:v>106</x:v>
      </x:c>
      <x:c r="K277" t="n">
        <x:v>14.85</x:v>
      </x:c>
      <x:c r="L277" t="n">
        <x:v>32.6</x:v>
      </x:c>
      <x:c r="M277" t="n">
        <x:v>0</x:v>
      </x:c>
      <x:c r="N277" t="n">
        <x:v>3455.6</x:v>
      </x:c>
      <x:c r="O277" t="n">
        <x:v>1574.1</x:v>
      </x:c>
      <x:c r="P277" t="n">
        <x:v>1881.5</x:v>
      </x:c>
      <x:c r="Q277" t="n">
        <x:v>54.45</x:v>
      </x:c>
      <x:c r="R277" t="inlineStr">
        <x:is>
          <x:t xml:space="preserve">Credit Card</x:t>
        </x:is>
      </x:c>
      <x:c r="S277" t="inlineStr">
        <x:is>
          <x:t xml:space="preserve">New</x:t>
        </x:is>
      </x:c>
    </x:row>
    <x:row r="278">
      <x:c r="A278" t="inlineStr">
        <x:is>
          <x:t xml:space="preserve">T100278</x:t>
        </x:is>
      </x:c>
      <x:c r="B278" s="10" t="n">
        <x:v>45292</x:v>
      </x:c>
      <x:c r="C278" t="inlineStr">
        <x:is>
          <x:t xml:space="preserve">S002</x:t>
        </x:is>
      </x:c>
      <x:c r="D278" t="inlineStr">
        <x:is>
          <x:t xml:space="preserve">Brickell</x:t>
        </x:is>
      </x:c>
      <x:c r="E278" t="inlineStr">
        <x:is>
          <x:t xml:space="preserve">Gabriel Samra</x:t>
        </x:is>
      </x:c>
      <x:c r="F278" t="inlineStr">
        <x:is>
          <x:t xml:space="preserve">GS003</x:t>
        </x:is>
      </x:c>
      <x:c r="G278" t="inlineStr">
        <x:is>
          <x:t xml:space="preserve">Repair Mask</x:t>
        </x:is>
      </x:c>
      <x:c r="H278" t="inlineStr">
        <x:is>
          <x:t xml:space="preserve">Hair Care</x:t>
        </x:is>
      </x:c>
      <x:c r="I278" t="inlineStr">
        <x:is>
          <x:t xml:space="preserve">Emma</x:t>
        </x:is>
      </x:c>
      <x:c r="J278" t="n">
        <x:v>87</x:v>
      </x:c>
      <x:c r="K278" t="n">
        <x:v>16.4</x:v>
      </x:c>
      <x:c r="L278" t="n">
        <x:v>40.95</x:v>
      </x:c>
      <x:c r="M278" t="n">
        <x:v>0</x:v>
      </x:c>
      <x:c r="N278" t="n">
        <x:v>3562.65</x:v>
      </x:c>
      <x:c r="O278" t="n">
        <x:v>1426.8</x:v>
      </x:c>
      <x:c r="P278" t="n">
        <x:v>2135.85</x:v>
      </x:c>
      <x:c r="Q278" t="n">
        <x:v>59.95</x:v>
      </x:c>
      <x:c r="R278" t="inlineStr">
        <x:is>
          <x:t xml:space="preserve">Credit Card</x:t>
        </x:is>
      </x:c>
      <x:c r="S278" t="inlineStr">
        <x:is>
          <x:t xml:space="preserve">Returning</x:t>
        </x:is>
      </x:c>
    </x:row>
    <x:row r="279">
      <x:c r="A279" t="inlineStr">
        <x:is>
          <x:t xml:space="preserve">T100279</x:t>
        </x:is>
      </x:c>
      <x:c r="B279" s="10" t="n">
        <x:v>45323</x:v>
      </x:c>
      <x:c r="C279" t="inlineStr">
        <x:is>
          <x:t xml:space="preserve">S002</x:t>
        </x:is>
      </x:c>
      <x:c r="D279" t="inlineStr">
        <x:is>
          <x:t xml:space="preserve">Brickell</x:t>
        </x:is>
      </x:c>
      <x:c r="E279" t="inlineStr">
        <x:is>
          <x:t xml:space="preserve">Gabriel Samra</x:t>
        </x:is>
      </x:c>
      <x:c r="F279" t="inlineStr">
        <x:is>
          <x:t xml:space="preserve">GS003</x:t>
        </x:is>
      </x:c>
      <x:c r="G279" t="inlineStr">
        <x:is>
          <x:t xml:space="preserve">Repair Mask</x:t>
        </x:is>
      </x:c>
      <x:c r="H279" t="inlineStr">
        <x:is>
          <x:t xml:space="preserve">Hair Care</x:t>
        </x:is>
      </x:c>
      <x:c r="I279" t="inlineStr">
        <x:is>
          <x:t xml:space="preserve">Olivia</x:t>
        </x:is>
      </x:c>
      <x:c r="J279" t="n">
        <x:v>94</x:v>
      </x:c>
      <x:c r="K279" t="n">
        <x:v>12.25</x:v>
      </x:c>
      <x:c r="L279" t="n">
        <x:v>38.1</x:v>
      </x:c>
      <x:c r="M279" t="n">
        <x:v>10</x:v>
      </x:c>
      <x:c r="N279" t="n">
        <x:v>3581.4</x:v>
      </x:c>
      <x:c r="O279" t="n">
        <x:v>1151.5</x:v>
      </x:c>
      <x:c r="P279" t="n">
        <x:v>2429.9</x:v>
      </x:c>
      <x:c r="Q279" t="n">
        <x:v>67.84999999999999</x:v>
      </x:c>
      <x:c r="R279" t="inlineStr">
        <x:is>
          <x:t xml:space="preserve">Credit Card</x:t>
        </x:is>
      </x:c>
      <x:c r="S279" t="inlineStr">
        <x:is>
          <x:t xml:space="preserve">New</x:t>
        </x:is>
      </x:c>
    </x:row>
    <x:row r="280">
      <x:c r="A280" t="inlineStr">
        <x:is>
          <x:t xml:space="preserve">T100280</x:t>
        </x:is>
      </x:c>
      <x:c r="B280" s="10" t="n">
        <x:v>45352</x:v>
      </x:c>
      <x:c r="C280" t="inlineStr">
        <x:is>
          <x:t xml:space="preserve">S002</x:t>
        </x:is>
      </x:c>
      <x:c r="D280" t="inlineStr">
        <x:is>
          <x:t xml:space="preserve">Brickell</x:t>
        </x:is>
      </x:c>
      <x:c r="E280" t="inlineStr">
        <x:is>
          <x:t xml:space="preserve">Gabriel Samra</x:t>
        </x:is>
      </x:c>
      <x:c r="F280" t="inlineStr">
        <x:is>
          <x:t xml:space="preserve">GS003</x:t>
        </x:is>
      </x:c>
      <x:c r="G280" t="inlineStr">
        <x:is>
          <x:t xml:space="preserve">Repair Mask</x:t>
        </x:is>
      </x:c>
      <x:c r="H280" t="inlineStr">
        <x:is>
          <x:t xml:space="preserve">Hair Care</x:t>
        </x:is>
      </x:c>
      <x:c r="I280" t="inlineStr">
        <x:is>
          <x:t xml:space="preserve">Sophia</x:t>
        </x:is>
      </x:c>
      <x:c r="J280" t="n">
        <x:v>159</x:v>
      </x:c>
      <x:c r="K280" t="n">
        <x:v>32.68</x:v>
      </x:c>
      <x:c r="L280" t="n">
        <x:v>66.25</x:v>
      </x:c>
      <x:c r="M280" t="n">
        <x:v>0</x:v>
      </x:c>
      <x:c r="N280" t="n">
        <x:v>10533.75</x:v>
      </x:c>
      <x:c r="O280" t="n">
        <x:v>5196.12</x:v>
      </x:c>
      <x:c r="P280" t="n">
        <x:v>5337.63</x:v>
      </x:c>
      <x:c r="Q280" t="n">
        <x:v>50.67</x:v>
      </x:c>
      <x:c r="R280" t="inlineStr">
        <x:is>
          <x:t xml:space="preserve">Credit Card</x:t>
        </x:is>
      </x:c>
      <x:c r="S280" t="inlineStr">
        <x:is>
          <x:t xml:space="preserve">Returning</x:t>
        </x:is>
      </x:c>
    </x:row>
    <x:row r="281">
      <x:c r="A281" t="inlineStr">
        <x:is>
          <x:t xml:space="preserve">T100281</x:t>
        </x:is>
      </x:c>
      <x:c r="B281" s="10" t="n">
        <x:v>45383</x:v>
      </x:c>
      <x:c r="C281" t="inlineStr">
        <x:is>
          <x:t xml:space="preserve">S002</x:t>
        </x:is>
      </x:c>
      <x:c r="D281" t="inlineStr">
        <x:is>
          <x:t xml:space="preserve">Brickell</x:t>
        </x:is>
      </x:c>
      <x:c r="E281" t="inlineStr">
        <x:is>
          <x:t xml:space="preserve">Gabriel Samra</x:t>
        </x:is>
      </x:c>
      <x:c r="F281" t="inlineStr">
        <x:is>
          <x:t xml:space="preserve">GS003</x:t>
        </x:is>
      </x:c>
      <x:c r="G281" t="inlineStr">
        <x:is>
          <x:t xml:space="preserve">Repair Mask</x:t>
        </x:is>
      </x:c>
      <x:c r="H281" t="inlineStr">
        <x:is>
          <x:t xml:space="preserve">Hair Care</x:t>
        </x:is>
      </x:c>
      <x:c r="I281" t="inlineStr">
        <x:is>
          <x:t xml:space="preserve">Emma</x:t>
        </x:is>
      </x:c>
      <x:c r="J281" t="n">
        <x:v>90</x:v>
      </x:c>
      <x:c r="K281" t="n">
        <x:v>24.04</x:v>
      </x:c>
      <x:c r="L281" t="n">
        <x:v>79.59</x:v>
      </x:c>
      <x:c r="M281" t="n">
        <x:v>10</x:v>
      </x:c>
      <x:c r="N281" t="n">
        <x:v>7163.1</x:v>
      </x:c>
      <x:c r="O281" t="n">
        <x:v>2163.6</x:v>
      </x:c>
      <x:c r="P281" t="n">
        <x:v>4999.5</x:v>
      </x:c>
      <x:c r="Q281" t="n">
        <x:v>69.8</x:v>
      </x:c>
      <x:c r="R281" t="inlineStr">
        <x:is>
          <x:t xml:space="preserve">Cash</x:t>
        </x:is>
      </x:c>
      <x:c r="S281" t="inlineStr">
        <x:is>
          <x:t xml:space="preserve">New</x:t>
        </x:is>
      </x:c>
    </x:row>
    <x:row r="282">
      <x:c r="A282" t="inlineStr">
        <x:is>
          <x:t xml:space="preserve">T100282</x:t>
        </x:is>
      </x:c>
      <x:c r="B282" s="10" t="n">
        <x:v>45413</x:v>
      </x:c>
      <x:c r="C282" t="inlineStr">
        <x:is>
          <x:t xml:space="preserve">S002</x:t>
        </x:is>
      </x:c>
      <x:c r="D282" t="inlineStr">
        <x:is>
          <x:t xml:space="preserve">Brickell</x:t>
        </x:is>
      </x:c>
      <x:c r="E282" t="inlineStr">
        <x:is>
          <x:t xml:space="preserve">Gabriel Samra</x:t>
        </x:is>
      </x:c>
      <x:c r="F282" t="inlineStr">
        <x:is>
          <x:t xml:space="preserve">GS003</x:t>
        </x:is>
      </x:c>
      <x:c r="G282" t="inlineStr">
        <x:is>
          <x:t xml:space="preserve">Repair Mask</x:t>
        </x:is>
      </x:c>
      <x:c r="H282" t="inlineStr">
        <x:is>
          <x:t xml:space="preserve">Hair Care</x:t>
        </x:is>
      </x:c>
      <x:c r="I282" t="inlineStr">
        <x:is>
          <x:t xml:space="preserve">Sophia</x:t>
        </x:is>
      </x:c>
      <x:c r="J282" t="n">
        <x:v>109</x:v>
      </x:c>
      <x:c r="K282" t="n">
        <x:v>23.48</x:v>
      </x:c>
      <x:c r="L282" t="n">
        <x:v>59.06</x:v>
      </x:c>
      <x:c r="M282" t="n">
        <x:v>0</x:v>
      </x:c>
      <x:c r="N282" t="n">
        <x:v>6437.54</x:v>
      </x:c>
      <x:c r="O282" t="n">
        <x:v>2559.32</x:v>
      </x:c>
      <x:c r="P282" t="n">
        <x:v>3878.22</x:v>
      </x:c>
      <x:c r="Q282" t="n">
        <x:v>60.24</x:v>
      </x:c>
      <x:c r="R282" t="inlineStr">
        <x:is>
          <x:t xml:space="preserve">Cash</x:t>
        </x:is>
      </x:c>
      <x:c r="S282" t="inlineStr">
        <x:is>
          <x:t xml:space="preserve">Returning</x:t>
        </x:is>
      </x:c>
    </x:row>
    <x:row r="283">
      <x:c r="A283" t="inlineStr">
        <x:is>
          <x:t xml:space="preserve">T100283</x:t>
        </x:is>
      </x:c>
      <x:c r="B283" s="10" t="n">
        <x:v>45444</x:v>
      </x:c>
      <x:c r="C283" t="inlineStr">
        <x:is>
          <x:t xml:space="preserve">S002</x:t>
        </x:is>
      </x:c>
      <x:c r="D283" t="inlineStr">
        <x:is>
          <x:t xml:space="preserve">Brickell</x:t>
        </x:is>
      </x:c>
      <x:c r="E283" t="inlineStr">
        <x:is>
          <x:t xml:space="preserve">Gabriel Samra</x:t>
        </x:is>
      </x:c>
      <x:c r="F283" t="inlineStr">
        <x:is>
          <x:t xml:space="preserve">GS003</x:t>
        </x:is>
      </x:c>
      <x:c r="G283" t="inlineStr">
        <x:is>
          <x:t xml:space="preserve">Repair Mask</x:t>
        </x:is>
      </x:c>
      <x:c r="H283" t="inlineStr">
        <x:is>
          <x:t xml:space="preserve">Hair Care</x:t>
        </x:is>
      </x:c>
      <x:c r="I283" t="inlineStr">
        <x:is>
          <x:t xml:space="preserve">Sophia</x:t>
        </x:is>
      </x:c>
      <x:c r="J283" t="n">
        <x:v>128</x:v>
      </x:c>
      <x:c r="K283" t="n">
        <x:v>23.79</x:v>
      </x:c>
      <x:c r="L283" t="n">
        <x:v>57.14</x:v>
      </x:c>
      <x:c r="M283" t="n">
        <x:v>10</x:v>
      </x:c>
      <x:c r="N283" t="n">
        <x:v>7313.92</x:v>
      </x:c>
      <x:c r="O283" t="n">
        <x:v>3045.12</x:v>
      </x:c>
      <x:c r="P283" t="n">
        <x:v>4268.8</x:v>
      </x:c>
      <x:c r="Q283" t="n">
        <x:v>58.37</x:v>
      </x:c>
      <x:c r="R283" t="inlineStr">
        <x:is>
          <x:t xml:space="preserve">Credit Card</x:t>
        </x:is>
      </x:c>
      <x:c r="S283" t="inlineStr">
        <x:is>
          <x:t xml:space="preserve">New</x:t>
        </x:is>
      </x:c>
    </x:row>
    <x:row r="284">
      <x:c r="A284" t="inlineStr">
        <x:is>
          <x:t xml:space="preserve">T100284</x:t>
        </x:is>
      </x:c>
      <x:c r="B284" s="10" t="n">
        <x:v>45474</x:v>
      </x:c>
      <x:c r="C284" t="inlineStr">
        <x:is>
          <x:t xml:space="preserve">S002</x:t>
        </x:is>
      </x:c>
      <x:c r="D284" t="inlineStr">
        <x:is>
          <x:t xml:space="preserve">Brickell</x:t>
        </x:is>
      </x:c>
      <x:c r="E284" t="inlineStr">
        <x:is>
          <x:t xml:space="preserve">Gabriel Samra</x:t>
        </x:is>
      </x:c>
      <x:c r="F284" t="inlineStr">
        <x:is>
          <x:t xml:space="preserve">GS003</x:t>
        </x:is>
      </x:c>
      <x:c r="G284" t="inlineStr">
        <x:is>
          <x:t xml:space="preserve">Repair Mask</x:t>
        </x:is>
      </x:c>
      <x:c r="H284" t="inlineStr">
        <x:is>
          <x:t xml:space="preserve">Hair Care</x:t>
        </x:is>
      </x:c>
      <x:c r="I284" t="inlineStr">
        <x:is>
          <x:t xml:space="preserve">Sophia</x:t>
        </x:is>
      </x:c>
      <x:c r="J284" t="n">
        <x:v>149</x:v>
      </x:c>
      <x:c r="K284" t="n">
        <x:v>21.69</x:v>
      </x:c>
      <x:c r="L284" t="n">
        <x:v>46.76</x:v>
      </x:c>
      <x:c r="M284" t="n">
        <x:v>10</x:v>
      </x:c>
      <x:c r="N284" t="n">
        <x:v>6967.24</x:v>
      </x:c>
      <x:c r="O284" t="n">
        <x:v>3231.81</x:v>
      </x:c>
      <x:c r="P284" t="n">
        <x:v>3735.43</x:v>
      </x:c>
      <x:c r="Q284" t="n">
        <x:v>53.61</x:v>
      </x:c>
      <x:c r="R284" t="inlineStr">
        <x:is>
          <x:t xml:space="preserve">Cash</x:t>
        </x:is>
      </x:c>
      <x:c r="S284" t="inlineStr">
        <x:is>
          <x:t xml:space="preserve">Returning</x:t>
        </x:is>
      </x:c>
    </x:row>
    <x:row r="285">
      <x:c r="A285" t="inlineStr">
        <x:is>
          <x:t xml:space="preserve">T100285</x:t>
        </x:is>
      </x:c>
      <x:c r="B285" s="10" t="n">
        <x:v>45505</x:v>
      </x:c>
      <x:c r="C285" t="inlineStr">
        <x:is>
          <x:t xml:space="preserve">S002</x:t>
        </x:is>
      </x:c>
      <x:c r="D285" t="inlineStr">
        <x:is>
          <x:t xml:space="preserve">Brickell</x:t>
        </x:is>
      </x:c>
      <x:c r="E285" t="inlineStr">
        <x:is>
          <x:t xml:space="preserve">Gabriel Samra</x:t>
        </x:is>
      </x:c>
      <x:c r="F285" t="inlineStr">
        <x:is>
          <x:t xml:space="preserve">GS003</x:t>
        </x:is>
      </x:c>
      <x:c r="G285" t="inlineStr">
        <x:is>
          <x:t xml:space="preserve">Repair Mask</x:t>
        </x:is>
      </x:c>
      <x:c r="H285" t="inlineStr">
        <x:is>
          <x:t xml:space="preserve">Hair Care</x:t>
        </x:is>
      </x:c>
      <x:c r="I285" t="inlineStr">
        <x:is>
          <x:t xml:space="preserve">Daniel</x:t>
        </x:is>
      </x:c>
      <x:c r="J285" t="n">
        <x:v>131</x:v>
      </x:c>
      <x:c r="K285" t="n">
        <x:v>21.83</x:v>
      </x:c>
      <x:c r="L285" t="n">
        <x:v>46.15</x:v>
      </x:c>
      <x:c r="M285" t="n">
        <x:v>0</x:v>
      </x:c>
      <x:c r="N285" t="n">
        <x:v>6045.65</x:v>
      </x:c>
      <x:c r="O285" t="n">
        <x:v>2859.73</x:v>
      </x:c>
      <x:c r="P285" t="n">
        <x:v>3185.92</x:v>
      </x:c>
      <x:c r="Q285" t="n">
        <x:v>52.7</x:v>
      </x:c>
      <x:c r="R285" t="inlineStr">
        <x:is>
          <x:t xml:space="preserve">Credit Card</x:t>
        </x:is>
      </x:c>
      <x:c r="S285" t="inlineStr">
        <x:is>
          <x:t xml:space="preserve">Returning</x:t>
        </x:is>
      </x:c>
    </x:row>
    <x:row r="286">
      <x:c r="A286" t="inlineStr">
        <x:is>
          <x:t xml:space="preserve">T100286</x:t>
        </x:is>
      </x:c>
      <x:c r="B286" s="10" t="n">
        <x:v>45536</x:v>
      </x:c>
      <x:c r="C286" t="inlineStr">
        <x:is>
          <x:t xml:space="preserve">S002</x:t>
        </x:is>
      </x:c>
      <x:c r="D286" t="inlineStr">
        <x:is>
          <x:t xml:space="preserve">Brickell</x:t>
        </x:is>
      </x:c>
      <x:c r="E286" t="inlineStr">
        <x:is>
          <x:t xml:space="preserve">Gabriel Samra</x:t>
        </x:is>
      </x:c>
      <x:c r="F286" t="inlineStr">
        <x:is>
          <x:t xml:space="preserve">GS003</x:t>
        </x:is>
      </x:c>
      <x:c r="G286" t="inlineStr">
        <x:is>
          <x:t xml:space="preserve">Repair Mask</x:t>
        </x:is>
      </x:c>
      <x:c r="H286" t="inlineStr">
        <x:is>
          <x:t xml:space="preserve">Hair Care</x:t>
        </x:is>
      </x:c>
      <x:c r="I286" t="inlineStr">
        <x:is>
          <x:t xml:space="preserve">Daniel</x:t>
        </x:is>
      </x:c>
      <x:c r="J286" t="n">
        <x:v>149</x:v>
      </x:c>
      <x:c r="K286" t="n">
        <x:v>17.16</x:v>
      </x:c>
      <x:c r="L286" t="n">
        <x:v>43.96</x:v>
      </x:c>
      <x:c r="M286" t="n">
        <x:v>0</x:v>
      </x:c>
      <x:c r="N286" t="n">
        <x:v>6550.04</x:v>
      </x:c>
      <x:c r="O286" t="n">
        <x:v>2556.84</x:v>
      </x:c>
      <x:c r="P286" t="n">
        <x:v>3993.2</x:v>
      </x:c>
      <x:c r="Q286" t="n">
        <x:v>60.96</x:v>
      </x:c>
      <x:c r="R286" t="inlineStr">
        <x:is>
          <x:t xml:space="preserve">Apple Pay</x:t>
        </x:is>
      </x:c>
      <x:c r="S286" t="inlineStr">
        <x:is>
          <x:t xml:space="preserve">New</x:t>
        </x:is>
      </x:c>
    </x:row>
    <x:row r="287">
      <x:c r="A287" t="inlineStr">
        <x:is>
          <x:t xml:space="preserve">T100287</x:t>
        </x:is>
      </x:c>
      <x:c r="B287" s="10" t="n">
        <x:v>45566</x:v>
      </x:c>
      <x:c r="C287" t="inlineStr">
        <x:is>
          <x:t xml:space="preserve">S002</x:t>
        </x:is>
      </x:c>
      <x:c r="D287" t="inlineStr">
        <x:is>
          <x:t xml:space="preserve">Brickell</x:t>
        </x:is>
      </x:c>
      <x:c r="E287" t="inlineStr">
        <x:is>
          <x:t xml:space="preserve">Gabriel Samra</x:t>
        </x:is>
      </x:c>
      <x:c r="F287" t="inlineStr">
        <x:is>
          <x:t xml:space="preserve">GS003</x:t>
        </x:is>
      </x:c>
      <x:c r="G287" t="inlineStr">
        <x:is>
          <x:t xml:space="preserve">Repair Mask</x:t>
        </x:is>
      </x:c>
      <x:c r="H287" t="inlineStr">
        <x:is>
          <x:t xml:space="preserve">Hair Care</x:t>
        </x:is>
      </x:c>
      <x:c r="I287" t="inlineStr">
        <x:is>
          <x:t xml:space="preserve">Daniel</x:t>
        </x:is>
      </x:c>
      <x:c r="J287" t="n">
        <x:v>155</x:v>
      </x:c>
      <x:c r="K287" t="n">
        <x:v>20.89</x:v>
      </x:c>
      <x:c r="L287" t="n">
        <x:v>68.70999999999999</x:v>
      </x:c>
      <x:c r="M287" t="n">
        <x:v>5</x:v>
      </x:c>
      <x:c r="N287" t="n">
        <x:v>10650.05</x:v>
      </x:c>
      <x:c r="O287" t="n">
        <x:v>3237.95</x:v>
      </x:c>
      <x:c r="P287" t="n">
        <x:v>7412.1</x:v>
      </x:c>
      <x:c r="Q287" t="n">
        <x:v>69.59999999999999</x:v>
      </x:c>
      <x:c r="R287" t="inlineStr">
        <x:is>
          <x:t xml:space="preserve">Apple Pay</x:t>
        </x:is>
      </x:c>
      <x:c r="S287" t="inlineStr">
        <x:is>
          <x:t xml:space="preserve">New</x:t>
        </x:is>
      </x:c>
    </x:row>
    <x:row r="288">
      <x:c r="A288" t="inlineStr">
        <x:is>
          <x:t xml:space="preserve">T100288</x:t>
        </x:is>
      </x:c>
      <x:c r="B288" s="10" t="n">
        <x:v>45597</x:v>
      </x:c>
      <x:c r="C288" t="inlineStr">
        <x:is>
          <x:t xml:space="preserve">S002</x:t>
        </x:is>
      </x:c>
      <x:c r="D288" t="inlineStr">
        <x:is>
          <x:t xml:space="preserve">Brickell</x:t>
        </x:is>
      </x:c>
      <x:c r="E288" t="inlineStr">
        <x:is>
          <x:t xml:space="preserve">Gabriel Samra</x:t>
        </x:is>
      </x:c>
      <x:c r="F288" t="inlineStr">
        <x:is>
          <x:t xml:space="preserve">GS003</x:t>
        </x:is>
      </x:c>
      <x:c r="G288" t="inlineStr">
        <x:is>
          <x:t xml:space="preserve">Repair Mask</x:t>
        </x:is>
      </x:c>
      <x:c r="H288" t="inlineStr">
        <x:is>
          <x:t xml:space="preserve">Hair Care</x:t>
        </x:is>
      </x:c>
      <x:c r="I288" t="inlineStr">
        <x:is>
          <x:t xml:space="preserve">Daniel</x:t>
        </x:is>
      </x:c>
      <x:c r="J288" t="n">
        <x:v>163</x:v>
      </x:c>
      <x:c r="K288" t="n">
        <x:v>30.05</x:v>
      </x:c>
      <x:c r="L288" t="n">
        <x:v>73.39</x:v>
      </x:c>
      <x:c r="M288" t="n">
        <x:v>0</x:v>
      </x:c>
      <x:c r="N288" t="n">
        <x:v>11962.57</x:v>
      </x:c>
      <x:c r="O288" t="n">
        <x:v>4898.15</x:v>
      </x:c>
      <x:c r="P288" t="n">
        <x:v>7064.42</x:v>
      </x:c>
      <x:c r="Q288" t="n">
        <x:v>59.05</x:v>
      </x:c>
      <x:c r="R288" t="inlineStr">
        <x:is>
          <x:t xml:space="preserve">Apple Pay</x:t>
        </x:is>
      </x:c>
      <x:c r="S288" t="inlineStr">
        <x:is>
          <x:t xml:space="preserve">New</x:t>
        </x:is>
      </x:c>
    </x:row>
    <x:row r="289">
      <x:c r="A289" t="inlineStr">
        <x:is>
          <x:t xml:space="preserve">T100289</x:t>
        </x:is>
      </x:c>
      <x:c r="B289" s="10" t="n">
        <x:v>45627</x:v>
      </x:c>
      <x:c r="C289" t="inlineStr">
        <x:is>
          <x:t xml:space="preserve">S002</x:t>
        </x:is>
      </x:c>
      <x:c r="D289" t="inlineStr">
        <x:is>
          <x:t xml:space="preserve">Brickell</x:t>
        </x:is>
      </x:c>
      <x:c r="E289" t="inlineStr">
        <x:is>
          <x:t xml:space="preserve">Gabriel Samra</x:t>
        </x:is>
      </x:c>
      <x:c r="F289" t="inlineStr">
        <x:is>
          <x:t xml:space="preserve">GS003</x:t>
        </x:is>
      </x:c>
      <x:c r="G289" t="inlineStr">
        <x:is>
          <x:t xml:space="preserve">Repair Mask</x:t>
        </x:is>
      </x:c>
      <x:c r="H289" t="inlineStr">
        <x:is>
          <x:t xml:space="preserve">Hair Care</x:t>
        </x:is>
      </x:c>
      <x:c r="I289" t="inlineStr">
        <x:is>
          <x:t xml:space="preserve">Daniel</x:t>
        </x:is>
      </x:c>
      <x:c r="J289" t="n">
        <x:v>206</x:v>
      </x:c>
      <x:c r="K289" t="n">
        <x:v>25.7</x:v>
      </x:c>
      <x:c r="L289" t="n">
        <x:v>59.97</x:v>
      </x:c>
      <x:c r="M289" t="n">
        <x:v>0</x:v>
      </x:c>
      <x:c r="N289" t="n">
        <x:v>12353.82</x:v>
      </x:c>
      <x:c r="O289" t="n">
        <x:v>5294.2</x:v>
      </x:c>
      <x:c r="P289" t="n">
        <x:v>7059.62</x:v>
      </x:c>
      <x:c r="Q289" t="n">
        <x:v>57.15</x:v>
      </x:c>
      <x:c r="R289" t="inlineStr">
        <x:is>
          <x:t xml:space="preserve">Credit Card</x:t>
        </x:is>
      </x:c>
      <x:c r="S289" t="inlineStr">
        <x:is>
          <x:t xml:space="preserve">New</x:t>
        </x:is>
      </x:c>
    </x:row>
    <x:row r="290">
      <x:c r="A290" t="inlineStr">
        <x:is>
          <x:t xml:space="preserve">T100290</x:t>
        </x:is>
      </x:c>
      <x:c r="B290" s="10" t="n">
        <x:v>45658</x:v>
      </x:c>
      <x:c r="C290" t="inlineStr">
        <x:is>
          <x:t xml:space="preserve">S002</x:t>
        </x:is>
      </x:c>
      <x:c r="D290" t="inlineStr">
        <x:is>
          <x:t xml:space="preserve">Brickell</x:t>
        </x:is>
      </x:c>
      <x:c r="E290" t="inlineStr">
        <x:is>
          <x:t xml:space="preserve">Gabriel Samra</x:t>
        </x:is>
      </x:c>
      <x:c r="F290" t="inlineStr">
        <x:is>
          <x:t xml:space="preserve">GS003</x:t>
        </x:is>
      </x:c>
      <x:c r="G290" t="inlineStr">
        <x:is>
          <x:t xml:space="preserve">Repair Mask</x:t>
        </x:is>
      </x:c>
      <x:c r="H290" t="inlineStr">
        <x:is>
          <x:t xml:space="preserve">Hair Care</x:t>
        </x:is>
      </x:c>
      <x:c r="I290" t="inlineStr">
        <x:is>
          <x:t xml:space="preserve">Olivia</x:t>
        </x:is>
      </x:c>
      <x:c r="J290" t="n">
        <x:v>198</x:v>
      </x:c>
      <x:c r="K290" t="n">
        <x:v>18.71</x:v>
      </x:c>
      <x:c r="L290" t="n">
        <x:v>65.34999999999999</x:v>
      </x:c>
      <x:c r="M290" t="n">
        <x:v>0</x:v>
      </x:c>
      <x:c r="N290" t="n">
        <x:v>12939.3</x:v>
      </x:c>
      <x:c r="O290" t="n">
        <x:v>3704.58</x:v>
      </x:c>
      <x:c r="P290" t="n">
        <x:v>9234.719999999999</x:v>
      </x:c>
      <x:c r="Q290" t="n">
        <x:v>71.37</x:v>
      </x:c>
      <x:c r="R290" t="inlineStr">
        <x:is>
          <x:t xml:space="preserve">Apple Pay</x:t>
        </x:is>
      </x:c>
      <x:c r="S290" t="inlineStr">
        <x:is>
          <x:t xml:space="preserve">New</x:t>
        </x:is>
      </x:c>
    </x:row>
    <x:row r="291">
      <x:c r="A291" t="inlineStr">
        <x:is>
          <x:t xml:space="preserve">T100291</x:t>
        </x:is>
      </x:c>
      <x:c r="B291" s="10" t="n">
        <x:v>45689</x:v>
      </x:c>
      <x:c r="C291" t="inlineStr">
        <x:is>
          <x:t xml:space="preserve">S002</x:t>
        </x:is>
      </x:c>
      <x:c r="D291" t="inlineStr">
        <x:is>
          <x:t xml:space="preserve">Brickell</x:t>
        </x:is>
      </x:c>
      <x:c r="E291" t="inlineStr">
        <x:is>
          <x:t xml:space="preserve">Gabriel Samra</x:t>
        </x:is>
      </x:c>
      <x:c r="F291" t="inlineStr">
        <x:is>
          <x:t xml:space="preserve">GS003</x:t>
        </x:is>
      </x:c>
      <x:c r="G291" t="inlineStr">
        <x:is>
          <x:t xml:space="preserve">Repair Mask</x:t>
        </x:is>
      </x:c>
      <x:c r="H291" t="inlineStr">
        <x:is>
          <x:t xml:space="preserve">Hair Care</x:t>
        </x:is>
      </x:c>
      <x:c r="I291" t="inlineStr">
        <x:is>
          <x:t xml:space="preserve">Emma</x:t>
        </x:is>
      </x:c>
      <x:c r="J291" t="n">
        <x:v>162</x:v>
      </x:c>
      <x:c r="K291" t="n">
        <x:v>31.78</x:v>
      </x:c>
      <x:c r="L291" t="n">
        <x:v>101.78</x:v>
      </x:c>
      <x:c r="M291" t="n">
        <x:v>10</x:v>
      </x:c>
      <x:c r="N291" t="n">
        <x:v>16488.36</x:v>
      </x:c>
      <x:c r="O291" t="n">
        <x:v>5148.36</x:v>
      </x:c>
      <x:c r="P291" t="n">
        <x:v>11340</x:v>
      </x:c>
      <x:c r="Q291" t="n">
        <x:v>68.78</x:v>
      </x:c>
      <x:c r="R291" t="inlineStr">
        <x:is>
          <x:t xml:space="preserve">Apple Pay</x:t>
        </x:is>
      </x:c>
      <x:c r="S291" t="inlineStr">
        <x:is>
          <x:t xml:space="preserve">New</x:t>
        </x:is>
      </x:c>
    </x:row>
    <x:row r="292">
      <x:c r="A292" t="inlineStr">
        <x:is>
          <x:t xml:space="preserve">T100292</x:t>
        </x:is>
      </x:c>
      <x:c r="B292" s="10" t="n">
        <x:v>45717</x:v>
      </x:c>
      <x:c r="C292" t="inlineStr">
        <x:is>
          <x:t xml:space="preserve">S002</x:t>
        </x:is>
      </x:c>
      <x:c r="D292" t="inlineStr">
        <x:is>
          <x:t xml:space="preserve">Brickell</x:t>
        </x:is>
      </x:c>
      <x:c r="E292" t="inlineStr">
        <x:is>
          <x:t xml:space="preserve">Gabriel Samra</x:t>
        </x:is>
      </x:c>
      <x:c r="F292" t="inlineStr">
        <x:is>
          <x:t xml:space="preserve">GS003</x:t>
        </x:is>
      </x:c>
      <x:c r="G292" t="inlineStr">
        <x:is>
          <x:t xml:space="preserve">Repair Mask</x:t>
        </x:is>
      </x:c>
      <x:c r="H292" t="inlineStr">
        <x:is>
          <x:t xml:space="preserve">Hair Care</x:t>
        </x:is>
      </x:c>
      <x:c r="I292" t="inlineStr">
        <x:is>
          <x:t xml:space="preserve">Emma</x:t>
        </x:is>
      </x:c>
      <x:c r="J292" t="n">
        <x:v>385</x:v>
      </x:c>
      <x:c r="K292" t="n">
        <x:v>32.92</x:v>
      </x:c>
      <x:c r="L292" t="n">
        <x:v>91.36</x:v>
      </x:c>
      <x:c r="M292" t="n">
        <x:v>0</x:v>
      </x:c>
      <x:c r="N292" t="n">
        <x:v>35173.6</x:v>
      </x:c>
      <x:c r="O292" t="n">
        <x:v>12674.2</x:v>
      </x:c>
      <x:c r="P292" t="n">
        <x:v>22499.4</x:v>
      </x:c>
      <x:c r="Q292" t="n">
        <x:v>63.97</x:v>
      </x:c>
      <x:c r="R292" t="inlineStr">
        <x:is>
          <x:t xml:space="preserve">Apple Pay</x:t>
        </x:is>
      </x:c>
      <x:c r="S292" t="inlineStr">
        <x:is>
          <x:t xml:space="preserve">New</x:t>
        </x:is>
      </x:c>
    </x:row>
    <x:row r="293">
      <x:c r="A293" t="inlineStr">
        <x:is>
          <x:t xml:space="preserve">T100293</x:t>
        </x:is>
      </x:c>
      <x:c r="B293" s="10" t="n">
        <x:v>45748</x:v>
      </x:c>
      <x:c r="C293" t="inlineStr">
        <x:is>
          <x:t xml:space="preserve">S002</x:t>
        </x:is>
      </x:c>
      <x:c r="D293" t="inlineStr">
        <x:is>
          <x:t xml:space="preserve">Brickell</x:t>
        </x:is>
      </x:c>
      <x:c r="E293" t="inlineStr">
        <x:is>
          <x:t xml:space="preserve">Gabriel Samra</x:t>
        </x:is>
      </x:c>
      <x:c r="F293" t="inlineStr">
        <x:is>
          <x:t xml:space="preserve">GS003</x:t>
        </x:is>
      </x:c>
      <x:c r="G293" t="inlineStr">
        <x:is>
          <x:t xml:space="preserve">Repair Mask</x:t>
        </x:is>
      </x:c>
      <x:c r="H293" t="inlineStr">
        <x:is>
          <x:t xml:space="preserve">Hair Care</x:t>
        </x:is>
      </x:c>
      <x:c r="I293" t="inlineStr">
        <x:is>
          <x:t xml:space="preserve">Olivia</x:t>
        </x:is>
      </x:c>
      <x:c r="J293" t="n">
        <x:v>246</x:v>
      </x:c>
      <x:c r="K293" t="n">
        <x:v>25.62</x:v>
      </x:c>
      <x:c r="L293" t="n">
        <x:v>89.37</x:v>
      </x:c>
      <x:c r="M293" t="n">
        <x:v>0</x:v>
      </x:c>
      <x:c r="N293" t="n">
        <x:v>21985.02</x:v>
      </x:c>
      <x:c r="O293" t="n">
        <x:v>6302.52</x:v>
      </x:c>
      <x:c r="P293" t="n">
        <x:v>15682.5</x:v>
      </x:c>
      <x:c r="Q293" t="n">
        <x:v>71.33</x:v>
      </x:c>
      <x:c r="R293" t="inlineStr">
        <x:is>
          <x:t xml:space="preserve">Cash</x:t>
        </x:is>
      </x:c>
      <x:c r="S293" t="inlineStr">
        <x:is>
          <x:t xml:space="preserve">Returning</x:t>
        </x:is>
      </x:c>
    </x:row>
    <x:row r="294">
      <x:c r="A294" t="inlineStr">
        <x:is>
          <x:t xml:space="preserve">T100294</x:t>
        </x:is>
      </x:c>
      <x:c r="B294" s="10" t="n">
        <x:v>45778</x:v>
      </x:c>
      <x:c r="C294" t="inlineStr">
        <x:is>
          <x:t xml:space="preserve">S002</x:t>
        </x:is>
      </x:c>
      <x:c r="D294" t="inlineStr">
        <x:is>
          <x:t xml:space="preserve">Brickell</x:t>
        </x:is>
      </x:c>
      <x:c r="E294" t="inlineStr">
        <x:is>
          <x:t xml:space="preserve">Gabriel Samra</x:t>
        </x:is>
      </x:c>
      <x:c r="F294" t="inlineStr">
        <x:is>
          <x:t xml:space="preserve">GS003</x:t>
        </x:is>
      </x:c>
      <x:c r="G294" t="inlineStr">
        <x:is>
          <x:t xml:space="preserve">Repair Mask</x:t>
        </x:is>
      </x:c>
      <x:c r="H294" t="inlineStr">
        <x:is>
          <x:t xml:space="preserve">Hair Care</x:t>
        </x:is>
      </x:c>
      <x:c r="I294" t="inlineStr">
        <x:is>
          <x:t xml:space="preserve">Daniel</x:t>
        </x:is>
      </x:c>
      <x:c r="J294" t="n">
        <x:v>244</x:v>
      </x:c>
      <x:c r="K294" t="n">
        <x:v>17.26</x:v>
      </x:c>
      <x:c r="L294" t="n">
        <x:v>56.87</x:v>
      </x:c>
      <x:c r="M294" t="n">
        <x:v>5</x:v>
      </x:c>
      <x:c r="N294" t="n">
        <x:v>13876.28</x:v>
      </x:c>
      <x:c r="O294" t="n">
        <x:v>4211.44</x:v>
      </x:c>
      <x:c r="P294" t="n">
        <x:v>9664.84</x:v>
      </x:c>
      <x:c r="Q294" t="n">
        <x:v>69.65000000000001</x:v>
      </x:c>
      <x:c r="R294" t="inlineStr">
        <x:is>
          <x:t xml:space="preserve">Apple Pay</x:t>
        </x:is>
      </x:c>
      <x:c r="S294" t="inlineStr">
        <x:is>
          <x:t xml:space="preserve">New</x:t>
        </x:is>
      </x:c>
    </x:row>
    <x:row r="295">
      <x:c r="A295" t="inlineStr">
        <x:is>
          <x:t xml:space="preserve">T100295</x:t>
        </x:is>
      </x:c>
      <x:c r="B295" s="10" t="n">
        <x:v>45809</x:v>
      </x:c>
      <x:c r="C295" t="inlineStr">
        <x:is>
          <x:t xml:space="preserve">S002</x:t>
        </x:is>
      </x:c>
      <x:c r="D295" t="inlineStr">
        <x:is>
          <x:t xml:space="preserve">Brickell</x:t>
        </x:is>
      </x:c>
      <x:c r="E295" t="inlineStr">
        <x:is>
          <x:t xml:space="preserve">Gabriel Samra</x:t>
        </x:is>
      </x:c>
      <x:c r="F295" t="inlineStr">
        <x:is>
          <x:t xml:space="preserve">GS003</x:t>
        </x:is>
      </x:c>
      <x:c r="G295" t="inlineStr">
        <x:is>
          <x:t xml:space="preserve">Repair Mask</x:t>
        </x:is>
      </x:c>
      <x:c r="H295" t="inlineStr">
        <x:is>
          <x:t xml:space="preserve">Hair Care</x:t>
        </x:is>
      </x:c>
      <x:c r="I295" t="inlineStr">
        <x:is>
          <x:t xml:space="preserve">Olivia</x:t>
        </x:is>
      </x:c>
      <x:c r="J295" t="n">
        <x:v>294</x:v>
      </x:c>
      <x:c r="K295" t="n">
        <x:v>29.43</x:v>
      </x:c>
      <x:c r="L295" t="n">
        <x:v>59.88</x:v>
      </x:c>
      <x:c r="M295" t="n">
        <x:v>0</x:v>
      </x:c>
      <x:c r="N295" t="n">
        <x:v>17604.72</x:v>
      </x:c>
      <x:c r="O295" t="n">
        <x:v>8652.42</x:v>
      </x:c>
      <x:c r="P295" t="n">
        <x:v>8952.299999999999</x:v>
      </x:c>
      <x:c r="Q295" t="n">
        <x:v>50.85</x:v>
      </x:c>
      <x:c r="R295" t="inlineStr">
        <x:is>
          <x:t xml:space="preserve">Credit Card</x:t>
        </x:is>
      </x:c>
      <x:c r="S295" t="inlineStr">
        <x:is>
          <x:t xml:space="preserve">Returning</x:t>
        </x:is>
      </x:c>
    </x:row>
    <x:row r="296">
      <x:c r="A296" t="inlineStr">
        <x:is>
          <x:t xml:space="preserve">T100296</x:t>
        </x:is>
      </x:c>
      <x:c r="B296" s="10" t="n">
        <x:v>45292</x:v>
      </x:c>
      <x:c r="C296" t="inlineStr">
        <x:is>
          <x:t xml:space="preserve">S002</x:t>
        </x:is>
      </x:c>
      <x:c r="D296" t="inlineStr">
        <x:is>
          <x:t xml:space="preserve">Brickell</x:t>
        </x:is>
      </x:c>
      <x:c r="E296" t="inlineStr">
        <x:is>
          <x:t xml:space="preserve">Gabriel Samra</x:t>
        </x:is>
      </x:c>
      <x:c r="F296" t="inlineStr">
        <x:is>
          <x:t xml:space="preserve">GS004</x:t>
        </x:is>
      </x:c>
      <x:c r="G296" t="inlineStr">
        <x:is>
          <x:t xml:space="preserve">Blonde Conditioner</x:t>
        </x:is>
      </x:c>
      <x:c r="H296" t="inlineStr">
        <x:is>
          <x:t xml:space="preserve">Hair Care</x:t>
        </x:is>
      </x:c>
      <x:c r="I296" t="inlineStr">
        <x:is>
          <x:t xml:space="preserve">Sophia</x:t>
        </x:is>
      </x:c>
      <x:c r="J296" t="n">
        <x:v>57</x:v>
      </x:c>
      <x:c r="K296" t="n">
        <x:v>29.45</x:v>
      </x:c>
      <x:c r="L296" t="n">
        <x:v>87.61</x:v>
      </x:c>
      <x:c r="M296" t="n">
        <x:v>5</x:v>
      </x:c>
      <x:c r="N296" t="n">
        <x:v>4993.77</x:v>
      </x:c>
      <x:c r="O296" t="n">
        <x:v>1678.65</x:v>
      </x:c>
      <x:c r="P296" t="n">
        <x:v>3315.12</x:v>
      </x:c>
      <x:c r="Q296" t="n">
        <x:v>66.39</x:v>
      </x:c>
      <x:c r="R296" t="inlineStr">
        <x:is>
          <x:t xml:space="preserve">Cash</x:t>
        </x:is>
      </x:c>
      <x:c r="S296" t="inlineStr">
        <x:is>
          <x:t xml:space="preserve">Returning</x:t>
        </x:is>
      </x:c>
    </x:row>
    <x:row r="297">
      <x:c r="A297" t="inlineStr">
        <x:is>
          <x:t xml:space="preserve">T100297</x:t>
        </x:is>
      </x:c>
      <x:c r="B297" s="10" t="n">
        <x:v>45323</x:v>
      </x:c>
      <x:c r="C297" t="inlineStr">
        <x:is>
          <x:t xml:space="preserve">S002</x:t>
        </x:is>
      </x:c>
      <x:c r="D297" t="inlineStr">
        <x:is>
          <x:t xml:space="preserve">Brickell</x:t>
        </x:is>
      </x:c>
      <x:c r="E297" t="inlineStr">
        <x:is>
          <x:t xml:space="preserve">Gabriel Samra</x:t>
        </x:is>
      </x:c>
      <x:c r="F297" t="inlineStr">
        <x:is>
          <x:t xml:space="preserve">GS004</x:t>
        </x:is>
      </x:c>
      <x:c r="G297" t="inlineStr">
        <x:is>
          <x:t xml:space="preserve">Blonde Conditioner</x:t>
        </x:is>
      </x:c>
      <x:c r="H297" t="inlineStr">
        <x:is>
          <x:t xml:space="preserve">Hair Care</x:t>
        </x:is>
      </x:c>
      <x:c r="I297" t="inlineStr">
        <x:is>
          <x:t xml:space="preserve">Sophia</x:t>
        </x:is>
      </x:c>
      <x:c r="J297" t="n">
        <x:v>60</x:v>
      </x:c>
      <x:c r="K297" t="n">
        <x:v>22.99</x:v>
      </x:c>
      <x:c r="L297" t="n">
        <x:v>71.36</x:v>
      </x:c>
      <x:c r="M297" t="n">
        <x:v>5</x:v>
      </x:c>
      <x:c r="N297" t="n">
        <x:v>4281.6</x:v>
      </x:c>
      <x:c r="O297" t="n">
        <x:v>1379.4</x:v>
      </x:c>
      <x:c r="P297" t="n">
        <x:v>2902.2</x:v>
      </x:c>
      <x:c r="Q297" t="n">
        <x:v>67.78</x:v>
      </x:c>
      <x:c r="R297" t="inlineStr">
        <x:is>
          <x:t xml:space="preserve">Credit Card</x:t>
        </x:is>
      </x:c>
      <x:c r="S297" t="inlineStr">
        <x:is>
          <x:t xml:space="preserve">Returning</x:t>
        </x:is>
      </x:c>
    </x:row>
    <x:row r="298">
      <x:c r="A298" t="inlineStr">
        <x:is>
          <x:t xml:space="preserve">T100298</x:t>
        </x:is>
      </x:c>
      <x:c r="B298" s="10" t="n">
        <x:v>45352</x:v>
      </x:c>
      <x:c r="C298" t="inlineStr">
        <x:is>
          <x:t xml:space="preserve">S002</x:t>
        </x:is>
      </x:c>
      <x:c r="D298" t="inlineStr">
        <x:is>
          <x:t xml:space="preserve">Brickell</x:t>
        </x:is>
      </x:c>
      <x:c r="E298" t="inlineStr">
        <x:is>
          <x:t xml:space="preserve">Gabriel Samra</x:t>
        </x:is>
      </x:c>
      <x:c r="F298" t="inlineStr">
        <x:is>
          <x:t xml:space="preserve">GS004</x:t>
        </x:is>
      </x:c>
      <x:c r="G298" t="inlineStr">
        <x:is>
          <x:t xml:space="preserve">Blonde Conditioner</x:t>
        </x:is>
      </x:c>
      <x:c r="H298" t="inlineStr">
        <x:is>
          <x:t xml:space="preserve">Hair Care</x:t>
        </x:is>
      </x:c>
      <x:c r="I298" t="inlineStr">
        <x:is>
          <x:t xml:space="preserve">Lucas</x:t>
        </x:is>
      </x:c>
      <x:c r="J298" t="n">
        <x:v>79</x:v>
      </x:c>
      <x:c r="K298" t="n">
        <x:v>16.42</x:v>
      </x:c>
      <x:c r="L298" t="n">
        <x:v>50.62</x:v>
      </x:c>
      <x:c r="M298" t="n">
        <x:v>0</x:v>
      </x:c>
      <x:c r="N298" t="n">
        <x:v>3998.98</x:v>
      </x:c>
      <x:c r="O298" t="n">
        <x:v>1297.18</x:v>
      </x:c>
      <x:c r="P298" t="n">
        <x:v>2701.8</x:v>
      </x:c>
      <x:c r="Q298" t="n">
        <x:v>67.56</x:v>
      </x:c>
      <x:c r="R298" t="inlineStr">
        <x:is>
          <x:t xml:space="preserve">Apple Pay</x:t>
        </x:is>
      </x:c>
      <x:c r="S298" t="inlineStr">
        <x:is>
          <x:t xml:space="preserve">New</x:t>
        </x:is>
      </x:c>
    </x:row>
    <x:row r="299">
      <x:c r="A299" t="inlineStr">
        <x:is>
          <x:t xml:space="preserve">T100299</x:t>
        </x:is>
      </x:c>
      <x:c r="B299" s="10" t="n">
        <x:v>45383</x:v>
      </x:c>
      <x:c r="C299" t="inlineStr">
        <x:is>
          <x:t xml:space="preserve">S002</x:t>
        </x:is>
      </x:c>
      <x:c r="D299" t="inlineStr">
        <x:is>
          <x:t xml:space="preserve">Brickell</x:t>
        </x:is>
      </x:c>
      <x:c r="E299" t="inlineStr">
        <x:is>
          <x:t xml:space="preserve">Gabriel Samra</x:t>
        </x:is>
      </x:c>
      <x:c r="F299" t="inlineStr">
        <x:is>
          <x:t xml:space="preserve">GS004</x:t>
        </x:is>
      </x:c>
      <x:c r="G299" t="inlineStr">
        <x:is>
          <x:t xml:space="preserve">Blonde Conditioner</x:t>
        </x:is>
      </x:c>
      <x:c r="H299" t="inlineStr">
        <x:is>
          <x:t xml:space="preserve">Hair Care</x:t>
        </x:is>
      </x:c>
      <x:c r="I299" t="inlineStr">
        <x:is>
          <x:t xml:space="preserve">Sophia</x:t>
        </x:is>
      </x:c>
      <x:c r="J299" t="n">
        <x:v>65</x:v>
      </x:c>
      <x:c r="K299" t="n">
        <x:v>26.27</x:v>
      </x:c>
      <x:c r="L299" t="n">
        <x:v>64.3</x:v>
      </x:c>
      <x:c r="M299" t="n">
        <x:v>0</x:v>
      </x:c>
      <x:c r="N299" t="n">
        <x:v>4179.5</x:v>
      </x:c>
      <x:c r="O299" t="n">
        <x:v>1707.55</x:v>
      </x:c>
      <x:c r="P299" t="n">
        <x:v>2471.95</x:v>
      </x:c>
      <x:c r="Q299" t="n">
        <x:v>59.14</x:v>
      </x:c>
      <x:c r="R299" t="inlineStr">
        <x:is>
          <x:t xml:space="preserve">Cash</x:t>
        </x:is>
      </x:c>
      <x:c r="S299" t="inlineStr">
        <x:is>
          <x:t xml:space="preserve">Returning</x:t>
        </x:is>
      </x:c>
    </x:row>
    <x:row r="300">
      <x:c r="A300" t="inlineStr">
        <x:is>
          <x:t xml:space="preserve">T100300</x:t>
        </x:is>
      </x:c>
      <x:c r="B300" s="10" t="n">
        <x:v>45413</x:v>
      </x:c>
      <x:c r="C300" t="inlineStr">
        <x:is>
          <x:t xml:space="preserve">S002</x:t>
        </x:is>
      </x:c>
      <x:c r="D300" t="inlineStr">
        <x:is>
          <x:t xml:space="preserve">Brickell</x:t>
        </x:is>
      </x:c>
      <x:c r="E300" t="inlineStr">
        <x:is>
          <x:t xml:space="preserve">Gabriel Samra</x:t>
        </x:is>
      </x:c>
      <x:c r="F300" t="inlineStr">
        <x:is>
          <x:t xml:space="preserve">GS004</x:t>
        </x:is>
      </x:c>
      <x:c r="G300" t="inlineStr">
        <x:is>
          <x:t xml:space="preserve">Blonde Conditioner</x:t>
        </x:is>
      </x:c>
      <x:c r="H300" t="inlineStr">
        <x:is>
          <x:t xml:space="preserve">Hair Care</x:t>
        </x:is>
      </x:c>
      <x:c r="I300" t="inlineStr">
        <x:is>
          <x:t xml:space="preserve">Daniel</x:t>
        </x:is>
      </x:c>
      <x:c r="J300" t="n">
        <x:v>68</x:v>
      </x:c>
      <x:c r="K300" t="n">
        <x:v>28.32</x:v>
      </x:c>
      <x:c r="L300" t="n">
        <x:v>65.7</x:v>
      </x:c>
      <x:c r="M300" t="n">
        <x:v>0</x:v>
      </x:c>
      <x:c r="N300" t="n">
        <x:v>4467.6</x:v>
      </x:c>
      <x:c r="O300" t="n">
        <x:v>1925.76</x:v>
      </x:c>
      <x:c r="P300" t="n">
        <x:v>2541.84</x:v>
      </x:c>
      <x:c r="Q300" t="n">
        <x:v>56.89</x:v>
      </x:c>
      <x:c r="R300" t="inlineStr">
        <x:is>
          <x:t xml:space="preserve">Cash</x:t>
        </x:is>
      </x:c>
      <x:c r="S300" t="inlineStr">
        <x:is>
          <x:t xml:space="preserve">New</x:t>
        </x:is>
      </x:c>
    </x:row>
    <x:row r="301">
      <x:c r="A301" t="inlineStr">
        <x:is>
          <x:t xml:space="preserve">T100301</x:t>
        </x:is>
      </x:c>
      <x:c r="B301" s="10" t="n">
        <x:v>45444</x:v>
      </x:c>
      <x:c r="C301" t="inlineStr">
        <x:is>
          <x:t xml:space="preserve">S002</x:t>
        </x:is>
      </x:c>
      <x:c r="D301" t="inlineStr">
        <x:is>
          <x:t xml:space="preserve">Brickell</x:t>
        </x:is>
      </x:c>
      <x:c r="E301" t="inlineStr">
        <x:is>
          <x:t xml:space="preserve">Gabriel Samra</x:t>
        </x:is>
      </x:c>
      <x:c r="F301" t="inlineStr">
        <x:is>
          <x:t xml:space="preserve">GS004</x:t>
        </x:is>
      </x:c>
      <x:c r="G301" t="inlineStr">
        <x:is>
          <x:t xml:space="preserve">Blonde Conditioner</x:t>
        </x:is>
      </x:c>
      <x:c r="H301" t="inlineStr">
        <x:is>
          <x:t xml:space="preserve">Hair Care</x:t>
        </x:is>
      </x:c>
      <x:c r="I301" t="inlineStr">
        <x:is>
          <x:t xml:space="preserve">Sophia</x:t>
        </x:is>
      </x:c>
      <x:c r="J301" t="n">
        <x:v>84</x:v>
      </x:c>
      <x:c r="K301" t="n">
        <x:v>25.3</x:v>
      </x:c>
      <x:c r="L301" t="n">
        <x:v>77.05</x:v>
      </x:c>
      <x:c r="M301" t="n">
        <x:v>10</x:v>
      </x:c>
      <x:c r="N301" t="n">
        <x:v>6472.2</x:v>
      </x:c>
      <x:c r="O301" t="n">
        <x:v>2125.2</x:v>
      </x:c>
      <x:c r="P301" t="n">
        <x:v>4347</x:v>
      </x:c>
      <x:c r="Q301" t="n">
        <x:v>67.16</x:v>
      </x:c>
      <x:c r="R301" t="inlineStr">
        <x:is>
          <x:t xml:space="preserve">Cash</x:t>
        </x:is>
      </x:c>
      <x:c r="S301" t="inlineStr">
        <x:is>
          <x:t xml:space="preserve">New</x:t>
        </x:is>
      </x:c>
    </x:row>
    <x:row r="302">
      <x:c r="A302" t="inlineStr">
        <x:is>
          <x:t xml:space="preserve">T100302</x:t>
        </x:is>
      </x:c>
      <x:c r="B302" s="10" t="n">
        <x:v>45474</x:v>
      </x:c>
      <x:c r="C302" t="inlineStr">
        <x:is>
          <x:t xml:space="preserve">S002</x:t>
        </x:is>
      </x:c>
      <x:c r="D302" t="inlineStr">
        <x:is>
          <x:t xml:space="preserve">Brickell</x:t>
        </x:is>
      </x:c>
      <x:c r="E302" t="inlineStr">
        <x:is>
          <x:t xml:space="preserve">Gabriel Samra</x:t>
        </x:is>
      </x:c>
      <x:c r="F302" t="inlineStr">
        <x:is>
          <x:t xml:space="preserve">GS004</x:t>
        </x:is>
      </x:c>
      <x:c r="G302" t="inlineStr">
        <x:is>
          <x:t xml:space="preserve">Blonde Conditioner</x:t>
        </x:is>
      </x:c>
      <x:c r="H302" t="inlineStr">
        <x:is>
          <x:t xml:space="preserve">Hair Care</x:t>
        </x:is>
      </x:c>
      <x:c r="I302" t="inlineStr">
        <x:is>
          <x:t xml:space="preserve">Daniel</x:t>
        </x:is>
      </x:c>
      <x:c r="J302" t="n">
        <x:v>106</x:v>
      </x:c>
      <x:c r="K302" t="n">
        <x:v>16.06</x:v>
      </x:c>
      <x:c r="L302" t="n">
        <x:v>32.25</x:v>
      </x:c>
      <x:c r="M302" t="n">
        <x:v>0</x:v>
      </x:c>
      <x:c r="N302" t="n">
        <x:v>3418.5</x:v>
      </x:c>
      <x:c r="O302" t="n">
        <x:v>1702.36</x:v>
      </x:c>
      <x:c r="P302" t="n">
        <x:v>1716.14</x:v>
      </x:c>
      <x:c r="Q302" t="n">
        <x:v>50.2</x:v>
      </x:c>
      <x:c r="R302" t="inlineStr">
        <x:is>
          <x:t xml:space="preserve">Credit Card</x:t>
        </x:is>
      </x:c>
      <x:c r="S302" t="inlineStr">
        <x:is>
          <x:t xml:space="preserve">New</x:t>
        </x:is>
      </x:c>
    </x:row>
    <x:row r="303">
      <x:c r="A303" t="inlineStr">
        <x:is>
          <x:t xml:space="preserve">T100303</x:t>
        </x:is>
      </x:c>
      <x:c r="B303" s="10" t="n">
        <x:v>45505</x:v>
      </x:c>
      <x:c r="C303" t="inlineStr">
        <x:is>
          <x:t xml:space="preserve">S002</x:t>
        </x:is>
      </x:c>
      <x:c r="D303" t="inlineStr">
        <x:is>
          <x:t xml:space="preserve">Brickell</x:t>
        </x:is>
      </x:c>
      <x:c r="E303" t="inlineStr">
        <x:is>
          <x:t xml:space="preserve">Gabriel Samra</x:t>
        </x:is>
      </x:c>
      <x:c r="F303" t="inlineStr">
        <x:is>
          <x:t xml:space="preserve">GS004</x:t>
        </x:is>
      </x:c>
      <x:c r="G303" t="inlineStr">
        <x:is>
          <x:t xml:space="preserve">Blonde Conditioner</x:t>
        </x:is>
      </x:c>
      <x:c r="H303" t="inlineStr">
        <x:is>
          <x:t xml:space="preserve">Hair Care</x:t>
        </x:is>
      </x:c>
      <x:c r="I303" t="inlineStr">
        <x:is>
          <x:t xml:space="preserve">Lucas</x:t>
        </x:is>
      </x:c>
      <x:c r="J303" t="n">
        <x:v>74</x:v>
      </x:c>
      <x:c r="K303" t="n">
        <x:v>14.46</x:v>
      </x:c>
      <x:c r="L303" t="n">
        <x:v>29.73</x:v>
      </x:c>
      <x:c r="M303" t="n">
        <x:v>10</x:v>
      </x:c>
      <x:c r="N303" t="n">
        <x:v>2200.02</x:v>
      </x:c>
      <x:c r="O303" t="n">
        <x:v>1070.04</x:v>
      </x:c>
      <x:c r="P303" t="n">
        <x:v>1129.98</x:v>
      </x:c>
      <x:c r="Q303" t="n">
        <x:v>51.36</x:v>
      </x:c>
      <x:c r="R303" t="inlineStr">
        <x:is>
          <x:t xml:space="preserve">Credit Card</x:t>
        </x:is>
      </x:c>
      <x:c r="S303" t="inlineStr">
        <x:is>
          <x:t xml:space="preserve">Returning</x:t>
        </x:is>
      </x:c>
    </x:row>
    <x:row r="304">
      <x:c r="A304" t="inlineStr">
        <x:is>
          <x:t xml:space="preserve">T100304</x:t>
        </x:is>
      </x:c>
      <x:c r="B304" s="10" t="n">
        <x:v>45536</x:v>
      </x:c>
      <x:c r="C304" t="inlineStr">
        <x:is>
          <x:t xml:space="preserve">S002</x:t>
        </x:is>
      </x:c>
      <x:c r="D304" t="inlineStr">
        <x:is>
          <x:t xml:space="preserve">Brickell</x:t>
        </x:is>
      </x:c>
      <x:c r="E304" t="inlineStr">
        <x:is>
          <x:t xml:space="preserve">Gabriel Samra</x:t>
        </x:is>
      </x:c>
      <x:c r="F304" t="inlineStr">
        <x:is>
          <x:t xml:space="preserve">GS004</x:t>
        </x:is>
      </x:c>
      <x:c r="G304" t="inlineStr">
        <x:is>
          <x:t xml:space="preserve">Blonde Conditioner</x:t>
        </x:is>
      </x:c>
      <x:c r="H304" t="inlineStr">
        <x:is>
          <x:t xml:space="preserve">Hair Care</x:t>
        </x:is>
      </x:c>
      <x:c r="I304" t="inlineStr">
        <x:is>
          <x:t xml:space="preserve">Emma</x:t>
        </x:is>
      </x:c>
      <x:c r="J304" t="n">
        <x:v>78</x:v>
      </x:c>
      <x:c r="K304" t="n">
        <x:v>25.07</x:v>
      </x:c>
      <x:c r="L304" t="n">
        <x:v>80.48999999999999</x:v>
      </x:c>
      <x:c r="M304" t="n">
        <x:v>10</x:v>
      </x:c>
      <x:c r="N304" t="n">
        <x:v>6278.22</x:v>
      </x:c>
      <x:c r="O304" t="n">
        <x:v>1955.46</x:v>
      </x:c>
      <x:c r="P304" t="n">
        <x:v>4322.76</x:v>
      </x:c>
      <x:c r="Q304" t="n">
        <x:v>68.84999999999999</x:v>
      </x:c>
      <x:c r="R304" t="inlineStr">
        <x:is>
          <x:t xml:space="preserve">Apple Pay</x:t>
        </x:is>
      </x:c>
      <x:c r="S304" t="inlineStr">
        <x:is>
          <x:t xml:space="preserve">Returning</x:t>
        </x:is>
      </x:c>
    </x:row>
    <x:row r="305">
      <x:c r="A305" t="inlineStr">
        <x:is>
          <x:t xml:space="preserve">T100305</x:t>
        </x:is>
      </x:c>
      <x:c r="B305" s="10" t="n">
        <x:v>45566</x:v>
      </x:c>
      <x:c r="C305" t="inlineStr">
        <x:is>
          <x:t xml:space="preserve">S002</x:t>
        </x:is>
      </x:c>
      <x:c r="D305" t="inlineStr">
        <x:is>
          <x:t xml:space="preserve">Brickell</x:t>
        </x:is>
      </x:c>
      <x:c r="E305" t="inlineStr">
        <x:is>
          <x:t xml:space="preserve">Gabriel Samra</x:t>
        </x:is>
      </x:c>
      <x:c r="F305" t="inlineStr">
        <x:is>
          <x:t xml:space="preserve">GS004</x:t>
        </x:is>
      </x:c>
      <x:c r="G305" t="inlineStr">
        <x:is>
          <x:t xml:space="preserve">Blonde Conditioner</x:t>
        </x:is>
      </x:c>
      <x:c r="H305" t="inlineStr">
        <x:is>
          <x:t xml:space="preserve">Hair Care</x:t>
        </x:is>
      </x:c>
      <x:c r="I305" t="inlineStr">
        <x:is>
          <x:t xml:space="preserve">Sophia</x:t>
        </x:is>
      </x:c>
      <x:c r="J305" t="n">
        <x:v>90</x:v>
      </x:c>
      <x:c r="K305" t="n">
        <x:v>17.38</x:v>
      </x:c>
      <x:c r="L305" t="n">
        <x:v>39.21</x:v>
      </x:c>
      <x:c r="M305" t="n">
        <x:v>5</x:v>
      </x:c>
      <x:c r="N305" t="n">
        <x:v>3528.9</x:v>
      </x:c>
      <x:c r="O305" t="n">
        <x:v>1564.2</x:v>
      </x:c>
      <x:c r="P305" t="n">
        <x:v>1964.7</x:v>
      </x:c>
      <x:c r="Q305" t="n">
        <x:v>55.67</x:v>
      </x:c>
      <x:c r="R305" t="inlineStr">
        <x:is>
          <x:t xml:space="preserve">Credit Card</x:t>
        </x:is>
      </x:c>
      <x:c r="S305" t="inlineStr">
        <x:is>
          <x:t xml:space="preserve">New</x:t>
        </x:is>
      </x:c>
    </x:row>
    <x:row r="306">
      <x:c r="A306" t="inlineStr">
        <x:is>
          <x:t xml:space="preserve">T100306</x:t>
        </x:is>
      </x:c>
      <x:c r="B306" s="10" t="n">
        <x:v>45597</x:v>
      </x:c>
      <x:c r="C306" t="inlineStr">
        <x:is>
          <x:t xml:space="preserve">S002</x:t>
        </x:is>
      </x:c>
      <x:c r="D306" t="inlineStr">
        <x:is>
          <x:t xml:space="preserve">Brickell</x:t>
        </x:is>
      </x:c>
      <x:c r="E306" t="inlineStr">
        <x:is>
          <x:t xml:space="preserve">Gabriel Samra</x:t>
        </x:is>
      </x:c>
      <x:c r="F306" t="inlineStr">
        <x:is>
          <x:t xml:space="preserve">GS004</x:t>
        </x:is>
      </x:c>
      <x:c r="G306" t="inlineStr">
        <x:is>
          <x:t xml:space="preserve">Blonde Conditioner</x:t>
        </x:is>
      </x:c>
      <x:c r="H306" t="inlineStr">
        <x:is>
          <x:t xml:space="preserve">Hair Care</x:t>
        </x:is>
      </x:c>
      <x:c r="I306" t="inlineStr">
        <x:is>
          <x:t xml:space="preserve">Sophia</x:t>
        </x:is>
      </x:c>
      <x:c r="J306" t="n">
        <x:v>133</x:v>
      </x:c>
      <x:c r="K306" t="n">
        <x:v>29.48</x:v>
      </x:c>
      <x:c r="L306" t="n">
        <x:v>62.48</x:v>
      </x:c>
      <x:c r="M306" t="n">
        <x:v>0</x:v>
      </x:c>
      <x:c r="N306" t="n">
        <x:v>8309.84</x:v>
      </x:c>
      <x:c r="O306" t="n">
        <x:v>3920.84</x:v>
      </x:c>
      <x:c r="P306" t="n">
        <x:v>4389</x:v>
      </x:c>
      <x:c r="Q306" t="n">
        <x:v>52.82</x:v>
      </x:c>
      <x:c r="R306" t="inlineStr">
        <x:is>
          <x:t xml:space="preserve">Apple Pay</x:t>
        </x:is>
      </x:c>
      <x:c r="S306" t="inlineStr">
        <x:is>
          <x:t xml:space="preserve">New</x:t>
        </x:is>
      </x:c>
    </x:row>
    <x:row r="307">
      <x:c r="A307" t="inlineStr">
        <x:is>
          <x:t xml:space="preserve">T100307</x:t>
        </x:is>
      </x:c>
      <x:c r="B307" s="10" t="n">
        <x:v>45627</x:v>
      </x:c>
      <x:c r="C307" t="inlineStr">
        <x:is>
          <x:t xml:space="preserve">S002</x:t>
        </x:is>
      </x:c>
      <x:c r="D307" t="inlineStr">
        <x:is>
          <x:t xml:space="preserve">Brickell</x:t>
        </x:is>
      </x:c>
      <x:c r="E307" t="inlineStr">
        <x:is>
          <x:t xml:space="preserve">Gabriel Samra</x:t>
        </x:is>
      </x:c>
      <x:c r="F307" t="inlineStr">
        <x:is>
          <x:t xml:space="preserve">GS004</x:t>
        </x:is>
      </x:c>
      <x:c r="G307" t="inlineStr">
        <x:is>
          <x:t xml:space="preserve">Blonde Conditioner</x:t>
        </x:is>
      </x:c>
      <x:c r="H307" t="inlineStr">
        <x:is>
          <x:t xml:space="preserve">Hair Care</x:t>
        </x:is>
      </x:c>
      <x:c r="I307" t="inlineStr">
        <x:is>
          <x:t xml:space="preserve">Sophia</x:t>
        </x:is>
      </x:c>
      <x:c r="J307" t="n">
        <x:v>114</x:v>
      </x:c>
      <x:c r="K307" t="n">
        <x:v>34.55</x:v>
      </x:c>
      <x:c r="L307" t="n">
        <x:v>102.31</x:v>
      </x:c>
      <x:c r="M307" t="n">
        <x:v>0</x:v>
      </x:c>
      <x:c r="N307" t="n">
        <x:v>11663.34</x:v>
      </x:c>
      <x:c r="O307" t="n">
        <x:v>3938.7</x:v>
      </x:c>
      <x:c r="P307" t="n">
        <x:v>7724.64</x:v>
      </x:c>
      <x:c r="Q307" t="n">
        <x:v>66.23</x:v>
      </x:c>
      <x:c r="R307" t="inlineStr">
        <x:is>
          <x:t xml:space="preserve">Cash</x:t>
        </x:is>
      </x:c>
      <x:c r="S307" t="inlineStr">
        <x:is>
          <x:t xml:space="preserve">Returning</x:t>
        </x:is>
      </x:c>
    </x:row>
    <x:row r="308">
      <x:c r="A308" t="inlineStr">
        <x:is>
          <x:t xml:space="preserve">T100308</x:t>
        </x:is>
      </x:c>
      <x:c r="B308" s="10" t="n">
        <x:v>45658</x:v>
      </x:c>
      <x:c r="C308" t="inlineStr">
        <x:is>
          <x:t xml:space="preserve">S002</x:t>
        </x:is>
      </x:c>
      <x:c r="D308" t="inlineStr">
        <x:is>
          <x:t xml:space="preserve">Brickell</x:t>
        </x:is>
      </x:c>
      <x:c r="E308" t="inlineStr">
        <x:is>
          <x:t xml:space="preserve">Gabriel Samra</x:t>
        </x:is>
      </x:c>
      <x:c r="F308" t="inlineStr">
        <x:is>
          <x:t xml:space="preserve">GS004</x:t>
        </x:is>
      </x:c>
      <x:c r="G308" t="inlineStr">
        <x:is>
          <x:t xml:space="preserve">Blonde Conditioner</x:t>
        </x:is>
      </x:c>
      <x:c r="H308" t="inlineStr">
        <x:is>
          <x:t xml:space="preserve">Hair Care</x:t>
        </x:is>
      </x:c>
      <x:c r="I308" t="inlineStr">
        <x:is>
          <x:t xml:space="preserve">Emma</x:t>
        </x:is>
      </x:c>
      <x:c r="J308" t="n">
        <x:v>88</x:v>
      </x:c>
      <x:c r="K308" t="n">
        <x:v>23.37</x:v>
      </x:c>
      <x:c r="L308" t="n">
        <x:v>53.8</x:v>
      </x:c>
      <x:c r="M308" t="n">
        <x:v>10</x:v>
      </x:c>
      <x:c r="N308" t="n">
        <x:v>4734.4</x:v>
      </x:c>
      <x:c r="O308" t="n">
        <x:v>2056.56</x:v>
      </x:c>
      <x:c r="P308" t="n">
        <x:v>2677.84</x:v>
      </x:c>
      <x:c r="Q308" t="n">
        <x:v>56.56</x:v>
      </x:c>
      <x:c r="R308" t="inlineStr">
        <x:is>
          <x:t xml:space="preserve">Cash</x:t>
        </x:is>
      </x:c>
      <x:c r="S308" t="inlineStr">
        <x:is>
          <x:t xml:space="preserve">Returning</x:t>
        </x:is>
      </x:c>
    </x:row>
    <x:row r="309">
      <x:c r="A309" t="inlineStr">
        <x:is>
          <x:t xml:space="preserve">T100309</x:t>
        </x:is>
      </x:c>
      <x:c r="B309" s="10" t="n">
        <x:v>45689</x:v>
      </x:c>
      <x:c r="C309" t="inlineStr">
        <x:is>
          <x:t xml:space="preserve">S002</x:t>
        </x:is>
      </x:c>
      <x:c r="D309" t="inlineStr">
        <x:is>
          <x:t xml:space="preserve">Brickell</x:t>
        </x:is>
      </x:c>
      <x:c r="E309" t="inlineStr">
        <x:is>
          <x:t xml:space="preserve">Gabriel Samra</x:t>
        </x:is>
      </x:c>
      <x:c r="F309" t="inlineStr">
        <x:is>
          <x:t xml:space="preserve">GS004</x:t>
        </x:is>
      </x:c>
      <x:c r="G309" t="inlineStr">
        <x:is>
          <x:t xml:space="preserve">Blonde Conditioner</x:t>
        </x:is>
      </x:c>
      <x:c r="H309" t="inlineStr">
        <x:is>
          <x:t xml:space="preserve">Hair Care</x:t>
        </x:is>
      </x:c>
      <x:c r="I309" t="inlineStr">
        <x:is>
          <x:t xml:space="preserve">Olivia</x:t>
        </x:is>
      </x:c>
      <x:c r="J309" t="n">
        <x:v>97</x:v>
      </x:c>
      <x:c r="K309" t="n">
        <x:v>25.69</x:v>
      </x:c>
      <x:c r="L309" t="n">
        <x:v>56.44</x:v>
      </x:c>
      <x:c r="M309" t="n">
        <x:v>0</x:v>
      </x:c>
      <x:c r="N309" t="n">
        <x:v>5474.68</x:v>
      </x:c>
      <x:c r="O309" t="n">
        <x:v>2491.93</x:v>
      </x:c>
      <x:c r="P309" t="n">
        <x:v>2982.75</x:v>
      </x:c>
      <x:c r="Q309" t="n">
        <x:v>54.48</x:v>
      </x:c>
      <x:c r="R309" t="inlineStr">
        <x:is>
          <x:t xml:space="preserve">Credit Card</x:t>
        </x:is>
      </x:c>
      <x:c r="S309" t="inlineStr">
        <x:is>
          <x:t xml:space="preserve">Returning</x:t>
        </x:is>
      </x:c>
    </x:row>
    <x:row r="310">
      <x:c r="A310" t="inlineStr">
        <x:is>
          <x:t xml:space="preserve">T100310</x:t>
        </x:is>
      </x:c>
      <x:c r="B310" s="10" t="n">
        <x:v>45717</x:v>
      </x:c>
      <x:c r="C310" t="inlineStr">
        <x:is>
          <x:t xml:space="preserve">S002</x:t>
        </x:is>
      </x:c>
      <x:c r="D310" t="inlineStr">
        <x:is>
          <x:t xml:space="preserve">Brickell</x:t>
        </x:is>
      </x:c>
      <x:c r="E310" t="inlineStr">
        <x:is>
          <x:t xml:space="preserve">Gabriel Samra</x:t>
        </x:is>
      </x:c>
      <x:c r="F310" t="inlineStr">
        <x:is>
          <x:t xml:space="preserve">GS004</x:t>
        </x:is>
      </x:c>
      <x:c r="G310" t="inlineStr">
        <x:is>
          <x:t xml:space="preserve">Blonde Conditioner</x:t>
        </x:is>
      </x:c>
      <x:c r="H310" t="inlineStr">
        <x:is>
          <x:t xml:space="preserve">Hair Care</x:t>
        </x:is>
      </x:c>
      <x:c r="I310" t="inlineStr">
        <x:is>
          <x:t xml:space="preserve">Sophia</x:t>
        </x:is>
      </x:c>
      <x:c r="J310" t="n">
        <x:v>105</x:v>
      </x:c>
      <x:c r="K310" t="n">
        <x:v>28.93</x:v>
      </x:c>
      <x:c r="L310" t="n">
        <x:v>91.23999999999999</x:v>
      </x:c>
      <x:c r="M310" t="n">
        <x:v>5</x:v>
      </x:c>
      <x:c r="N310" t="n">
        <x:v>9580.200000000001</x:v>
      </x:c>
      <x:c r="O310" t="n">
        <x:v>3037.65</x:v>
      </x:c>
      <x:c r="P310" t="n">
        <x:v>6542.55</x:v>
      </x:c>
      <x:c r="Q310" t="n">
        <x:v>68.29000000000001</x:v>
      </x:c>
      <x:c r="R310" t="inlineStr">
        <x:is>
          <x:t xml:space="preserve">Credit Card</x:t>
        </x:is>
      </x:c>
      <x:c r="S310" t="inlineStr">
        <x:is>
          <x:t xml:space="preserve">Returning</x:t>
        </x:is>
      </x:c>
    </x:row>
    <x:row r="311">
      <x:c r="A311" t="inlineStr">
        <x:is>
          <x:t xml:space="preserve">T100311</x:t>
        </x:is>
      </x:c>
      <x:c r="B311" s="10" t="n">
        <x:v>45748</x:v>
      </x:c>
      <x:c r="C311" t="inlineStr">
        <x:is>
          <x:t xml:space="preserve">S002</x:t>
        </x:is>
      </x:c>
      <x:c r="D311" t="inlineStr">
        <x:is>
          <x:t xml:space="preserve">Brickell</x:t>
        </x:is>
      </x:c>
      <x:c r="E311" t="inlineStr">
        <x:is>
          <x:t xml:space="preserve">Gabriel Samra</x:t>
        </x:is>
      </x:c>
      <x:c r="F311" t="inlineStr">
        <x:is>
          <x:t xml:space="preserve">GS004</x:t>
        </x:is>
      </x:c>
      <x:c r="G311" t="inlineStr">
        <x:is>
          <x:t xml:space="preserve">Blonde Conditioner</x:t>
        </x:is>
      </x:c>
      <x:c r="H311" t="inlineStr">
        <x:is>
          <x:t xml:space="preserve">Hair Care</x:t>
        </x:is>
      </x:c>
      <x:c r="I311" t="inlineStr">
        <x:is>
          <x:t xml:space="preserve">Sophia</x:t>
        </x:is>
      </x:c>
      <x:c r="J311" t="n">
        <x:v>105</x:v>
      </x:c>
      <x:c r="K311" t="n">
        <x:v>17.62</x:v>
      </x:c>
      <x:c r="L311" t="n">
        <x:v>60.41</x:v>
      </x:c>
      <x:c r="M311" t="n">
        <x:v>0</x:v>
      </x:c>
      <x:c r="N311" t="n">
        <x:v>6343.05</x:v>
      </x:c>
      <x:c r="O311" t="n">
        <x:v>1850.1</x:v>
      </x:c>
      <x:c r="P311" t="n">
        <x:v>4492.95</x:v>
      </x:c>
      <x:c r="Q311" t="n">
        <x:v>70.83</x:v>
      </x:c>
      <x:c r="R311" t="inlineStr">
        <x:is>
          <x:t xml:space="preserve">Apple Pay</x:t>
        </x:is>
      </x:c>
      <x:c r="S311" t="inlineStr">
        <x:is>
          <x:t xml:space="preserve">Returning</x:t>
        </x:is>
      </x:c>
    </x:row>
    <x:row r="312">
      <x:c r="A312" t="inlineStr">
        <x:is>
          <x:t xml:space="preserve">T100312</x:t>
        </x:is>
      </x:c>
      <x:c r="B312" s="10" t="n">
        <x:v>45778</x:v>
      </x:c>
      <x:c r="C312" t="inlineStr">
        <x:is>
          <x:t xml:space="preserve">S002</x:t>
        </x:is>
      </x:c>
      <x:c r="D312" t="inlineStr">
        <x:is>
          <x:t xml:space="preserve">Brickell</x:t>
        </x:is>
      </x:c>
      <x:c r="E312" t="inlineStr">
        <x:is>
          <x:t xml:space="preserve">Gabriel Samra</x:t>
        </x:is>
      </x:c>
      <x:c r="F312" t="inlineStr">
        <x:is>
          <x:t xml:space="preserve">GS004</x:t>
        </x:is>
      </x:c>
      <x:c r="G312" t="inlineStr">
        <x:is>
          <x:t xml:space="preserve">Blonde Conditioner</x:t>
        </x:is>
      </x:c>
      <x:c r="H312" t="inlineStr">
        <x:is>
          <x:t xml:space="preserve">Hair Care</x:t>
        </x:is>
      </x:c>
      <x:c r="I312" t="inlineStr">
        <x:is>
          <x:t xml:space="preserve">Sophia</x:t>
        </x:is>
      </x:c>
      <x:c r="J312" t="n">
        <x:v>107</x:v>
      </x:c>
      <x:c r="K312" t="n">
        <x:v>14</x:v>
      </x:c>
      <x:c r="L312" t="n">
        <x:v>40.79</x:v>
      </x:c>
      <x:c r="M312" t="n">
        <x:v>10</x:v>
      </x:c>
      <x:c r="N312" t="n">
        <x:v>4364.53</x:v>
      </x:c>
      <x:c r="O312" t="n">
        <x:v>1498</x:v>
      </x:c>
      <x:c r="P312" t="n">
        <x:v>2866.53</x:v>
      </x:c>
      <x:c r="Q312" t="n">
        <x:v>65.68000000000001</x:v>
      </x:c>
      <x:c r="R312" t="inlineStr">
        <x:is>
          <x:t xml:space="preserve">Credit Card</x:t>
        </x:is>
      </x:c>
      <x:c r="S312" t="inlineStr">
        <x:is>
          <x:t xml:space="preserve">New</x:t>
        </x:is>
      </x:c>
    </x:row>
    <x:row r="313">
      <x:c r="A313" t="inlineStr">
        <x:is>
          <x:t xml:space="preserve">T100313</x:t>
        </x:is>
      </x:c>
      <x:c r="B313" s="10" t="n">
        <x:v>45809</x:v>
      </x:c>
      <x:c r="C313" t="inlineStr">
        <x:is>
          <x:t xml:space="preserve">S002</x:t>
        </x:is>
      </x:c>
      <x:c r="D313" t="inlineStr">
        <x:is>
          <x:t xml:space="preserve">Brickell</x:t>
        </x:is>
      </x:c>
      <x:c r="E313" t="inlineStr">
        <x:is>
          <x:t xml:space="preserve">Gabriel Samra</x:t>
        </x:is>
      </x:c>
      <x:c r="F313" t="inlineStr">
        <x:is>
          <x:t xml:space="preserve">GS004</x:t>
        </x:is>
      </x:c>
      <x:c r="G313" t="inlineStr">
        <x:is>
          <x:t xml:space="preserve">Blonde Conditioner</x:t>
        </x:is>
      </x:c>
      <x:c r="H313" t="inlineStr">
        <x:is>
          <x:t xml:space="preserve">Hair Care</x:t>
        </x:is>
      </x:c>
      <x:c r="I313" t="inlineStr">
        <x:is>
          <x:t xml:space="preserve">Lucas</x:t>
        </x:is>
      </x:c>
      <x:c r="J313" t="n">
        <x:v>122</x:v>
      </x:c>
      <x:c r="K313" t="n">
        <x:v>22.36</x:v>
      </x:c>
      <x:c r="L313" t="n">
        <x:v>72.72</x:v>
      </x:c>
      <x:c r="M313" t="n">
        <x:v>0</x:v>
      </x:c>
      <x:c r="N313" t="n">
        <x:v>8871.84</x:v>
      </x:c>
      <x:c r="O313" t="n">
        <x:v>2727.92</x:v>
      </x:c>
      <x:c r="P313" t="n">
        <x:v>6143.92</x:v>
      </x:c>
      <x:c r="Q313" t="n">
        <x:v>69.25</x:v>
      </x:c>
      <x:c r="R313" t="inlineStr">
        <x:is>
          <x:t xml:space="preserve">Cash</x:t>
        </x:is>
      </x:c>
      <x:c r="S313" t="inlineStr">
        <x:is>
          <x:t xml:space="preserve">New</x:t>
        </x:is>
      </x:c>
    </x:row>
    <x:row r="314">
      <x:c r="A314" t="inlineStr">
        <x:is>
          <x:t xml:space="preserve">T100314</x:t>
        </x:is>
      </x:c>
      <x:c r="B314" s="10" t="n">
        <x:v>45292</x:v>
      </x:c>
      <x:c r="C314" t="inlineStr">
        <x:is>
          <x:t xml:space="preserve">S002</x:t>
        </x:is>
      </x:c>
      <x:c r="D314" t="inlineStr">
        <x:is>
          <x:t xml:space="preserve">Brickell</x:t>
        </x:is>
      </x:c>
      <x:c r="E314" t="inlineStr">
        <x:is>
          <x:t xml:space="preserve">Gabriel Samra</x:t>
        </x:is>
      </x:c>
      <x:c r="F314" t="inlineStr">
        <x:is>
          <x:t xml:space="preserve">GS005</x:t>
        </x:is>
      </x:c>
      <x:c r="G314" t="inlineStr">
        <x:is>
          <x:t xml:space="preserve">Hair Oil Serum</x:t>
        </x:is>
      </x:c>
      <x:c r="H314" t="inlineStr">
        <x:is>
          <x:t xml:space="preserve">Styling</x:t>
        </x:is>
      </x:c>
      <x:c r="I314" t="inlineStr">
        <x:is>
          <x:t xml:space="preserve">Lucas</x:t>
        </x:is>
      </x:c>
      <x:c r="J314" t="n">
        <x:v>76</x:v>
      </x:c>
      <x:c r="K314" t="n">
        <x:v>23.7</x:v>
      </x:c>
      <x:c r="L314" t="n">
        <x:v>56.65</x:v>
      </x:c>
      <x:c r="M314" t="n">
        <x:v>0</x:v>
      </x:c>
      <x:c r="N314" t="n">
        <x:v>4305.4</x:v>
      </x:c>
      <x:c r="O314" t="n">
        <x:v>1801.2</x:v>
      </x:c>
      <x:c r="P314" t="n">
        <x:v>2504.2</x:v>
      </x:c>
      <x:c r="Q314" t="n">
        <x:v>58.16</x:v>
      </x:c>
      <x:c r="R314" t="inlineStr">
        <x:is>
          <x:t xml:space="preserve">Cash</x:t>
        </x:is>
      </x:c>
      <x:c r="S314" t="inlineStr">
        <x:is>
          <x:t xml:space="preserve">New</x:t>
        </x:is>
      </x:c>
    </x:row>
    <x:row r="315">
      <x:c r="A315" t="inlineStr">
        <x:is>
          <x:t xml:space="preserve">T100315</x:t>
        </x:is>
      </x:c>
      <x:c r="B315" s="10" t="n">
        <x:v>45323</x:v>
      </x:c>
      <x:c r="C315" t="inlineStr">
        <x:is>
          <x:t xml:space="preserve">S002</x:t>
        </x:is>
      </x:c>
      <x:c r="D315" t="inlineStr">
        <x:is>
          <x:t xml:space="preserve">Brickell</x:t>
        </x:is>
      </x:c>
      <x:c r="E315" t="inlineStr">
        <x:is>
          <x:t xml:space="preserve">Gabriel Samra</x:t>
        </x:is>
      </x:c>
      <x:c r="F315" t="inlineStr">
        <x:is>
          <x:t xml:space="preserve">GS005</x:t>
        </x:is>
      </x:c>
      <x:c r="G315" t="inlineStr">
        <x:is>
          <x:t xml:space="preserve">Hair Oil Serum</x:t>
        </x:is>
      </x:c>
      <x:c r="H315" t="inlineStr">
        <x:is>
          <x:t xml:space="preserve">Styling</x:t>
        </x:is>
      </x:c>
      <x:c r="I315" t="inlineStr">
        <x:is>
          <x:t xml:space="preserve">Olivia</x:t>
        </x:is>
      </x:c>
      <x:c r="J315" t="n">
        <x:v>69</x:v>
      </x:c>
      <x:c r="K315" t="n">
        <x:v>25.75</x:v>
      </x:c>
      <x:c r="L315" t="n">
        <x:v>55.69</x:v>
      </x:c>
      <x:c r="M315" t="n">
        <x:v>0</x:v>
      </x:c>
      <x:c r="N315" t="n">
        <x:v>3842.61</x:v>
      </x:c>
      <x:c r="O315" t="n">
        <x:v>1776.75</x:v>
      </x:c>
      <x:c r="P315" t="n">
        <x:v>2065.86</x:v>
      </x:c>
      <x:c r="Q315" t="n">
        <x:v>53.76</x:v>
      </x:c>
      <x:c r="R315" t="inlineStr">
        <x:is>
          <x:t xml:space="preserve">Cash</x:t>
        </x:is>
      </x:c>
      <x:c r="S315" t="inlineStr">
        <x:is>
          <x:t xml:space="preserve">New</x:t>
        </x:is>
      </x:c>
    </x:row>
    <x:row r="316">
      <x:c r="A316" t="inlineStr">
        <x:is>
          <x:t xml:space="preserve">T100316</x:t>
        </x:is>
      </x:c>
      <x:c r="B316" s="10" t="n">
        <x:v>45352</x:v>
      </x:c>
      <x:c r="C316" t="inlineStr">
        <x:is>
          <x:t xml:space="preserve">S002</x:t>
        </x:is>
      </x:c>
      <x:c r="D316" t="inlineStr">
        <x:is>
          <x:t xml:space="preserve">Brickell</x:t>
        </x:is>
      </x:c>
      <x:c r="E316" t="inlineStr">
        <x:is>
          <x:t xml:space="preserve">Gabriel Samra</x:t>
        </x:is>
      </x:c>
      <x:c r="F316" t="inlineStr">
        <x:is>
          <x:t xml:space="preserve">GS005</x:t>
        </x:is>
      </x:c>
      <x:c r="G316" t="inlineStr">
        <x:is>
          <x:t xml:space="preserve">Hair Oil Serum</x:t>
        </x:is>
      </x:c>
      <x:c r="H316" t="inlineStr">
        <x:is>
          <x:t xml:space="preserve">Styling</x:t>
        </x:is>
      </x:c>
      <x:c r="I316" t="inlineStr">
        <x:is>
          <x:t xml:space="preserve">Sophia</x:t>
        </x:is>
      </x:c>
      <x:c r="J316" t="n">
        <x:v>75</x:v>
      </x:c>
      <x:c r="K316" t="n">
        <x:v>27.4</x:v>
      </x:c>
      <x:c r="L316" t="n">
        <x:v>68.95999999999999</x:v>
      </x:c>
      <x:c r="M316" t="n">
        <x:v>10</x:v>
      </x:c>
      <x:c r="N316" t="n">
        <x:v>5172</x:v>
      </x:c>
      <x:c r="O316" t="n">
        <x:v>2055</x:v>
      </x:c>
      <x:c r="P316" t="n">
        <x:v>3117</x:v>
      </x:c>
      <x:c r="Q316" t="n">
        <x:v>60.27</x:v>
      </x:c>
      <x:c r="R316" t="inlineStr">
        <x:is>
          <x:t xml:space="preserve">Apple Pay</x:t>
        </x:is>
      </x:c>
      <x:c r="S316" t="inlineStr">
        <x:is>
          <x:t xml:space="preserve">New</x:t>
        </x:is>
      </x:c>
    </x:row>
    <x:row r="317">
      <x:c r="A317" t="inlineStr">
        <x:is>
          <x:t xml:space="preserve">T100317</x:t>
        </x:is>
      </x:c>
      <x:c r="B317" s="10" t="n">
        <x:v>45383</x:v>
      </x:c>
      <x:c r="C317" t="inlineStr">
        <x:is>
          <x:t xml:space="preserve">S002</x:t>
        </x:is>
      </x:c>
      <x:c r="D317" t="inlineStr">
        <x:is>
          <x:t xml:space="preserve">Brickell</x:t>
        </x:is>
      </x:c>
      <x:c r="E317" t="inlineStr">
        <x:is>
          <x:t xml:space="preserve">Gabriel Samra</x:t>
        </x:is>
      </x:c>
      <x:c r="F317" t="inlineStr">
        <x:is>
          <x:t xml:space="preserve">GS005</x:t>
        </x:is>
      </x:c>
      <x:c r="G317" t="inlineStr">
        <x:is>
          <x:t xml:space="preserve">Hair Oil Serum</x:t>
        </x:is>
      </x:c>
      <x:c r="H317" t="inlineStr">
        <x:is>
          <x:t xml:space="preserve">Styling</x:t>
        </x:is>
      </x:c>
      <x:c r="I317" t="inlineStr">
        <x:is>
          <x:t xml:space="preserve">Daniel</x:t>
        </x:is>
      </x:c>
      <x:c r="J317" t="n">
        <x:v>68</x:v>
      </x:c>
      <x:c r="K317" t="n">
        <x:v>34.06</x:v>
      </x:c>
      <x:c r="L317" t="n">
        <x:v>118.41</x:v>
      </x:c>
      <x:c r="M317" t="n">
        <x:v>5</x:v>
      </x:c>
      <x:c r="N317" t="n">
        <x:v>8051.88</x:v>
      </x:c>
      <x:c r="O317" t="n">
        <x:v>2316.08</x:v>
      </x:c>
      <x:c r="P317" t="n">
        <x:v>5735.8</x:v>
      </x:c>
      <x:c r="Q317" t="n">
        <x:v>71.23999999999999</x:v>
      </x:c>
      <x:c r="R317" t="inlineStr">
        <x:is>
          <x:t xml:space="preserve">Cash</x:t>
        </x:is>
      </x:c>
      <x:c r="S317" t="inlineStr">
        <x:is>
          <x:t xml:space="preserve">New</x:t>
        </x:is>
      </x:c>
    </x:row>
    <x:row r="318">
      <x:c r="A318" t="inlineStr">
        <x:is>
          <x:t xml:space="preserve">T100318</x:t>
        </x:is>
      </x:c>
      <x:c r="B318" s="10" t="n">
        <x:v>45413</x:v>
      </x:c>
      <x:c r="C318" t="inlineStr">
        <x:is>
          <x:t xml:space="preserve">S002</x:t>
        </x:is>
      </x:c>
      <x:c r="D318" t="inlineStr">
        <x:is>
          <x:t xml:space="preserve">Brickell</x:t>
        </x:is>
      </x:c>
      <x:c r="E318" t="inlineStr">
        <x:is>
          <x:t xml:space="preserve">Gabriel Samra</x:t>
        </x:is>
      </x:c>
      <x:c r="F318" t="inlineStr">
        <x:is>
          <x:t xml:space="preserve">GS005</x:t>
        </x:is>
      </x:c>
      <x:c r="G318" t="inlineStr">
        <x:is>
          <x:t xml:space="preserve">Hair Oil Serum</x:t>
        </x:is>
      </x:c>
      <x:c r="H318" t="inlineStr">
        <x:is>
          <x:t xml:space="preserve">Styling</x:t>
        </x:is>
      </x:c>
      <x:c r="I318" t="inlineStr">
        <x:is>
          <x:t xml:space="preserve">Olivia</x:t>
        </x:is>
      </x:c>
      <x:c r="J318" t="n">
        <x:v>69</x:v>
      </x:c>
      <x:c r="K318" t="n">
        <x:v>26.11</x:v>
      </x:c>
      <x:c r="L318" t="n">
        <x:v>90.48</x:v>
      </x:c>
      <x:c r="M318" t="n">
        <x:v>10</x:v>
      </x:c>
      <x:c r="N318" t="n">
        <x:v>6243.12</x:v>
      </x:c>
      <x:c r="O318" t="n">
        <x:v>1801.59</x:v>
      </x:c>
      <x:c r="P318" t="n">
        <x:v>4441.53</x:v>
      </x:c>
      <x:c r="Q318" t="n">
        <x:v>71.14</x:v>
      </x:c>
      <x:c r="R318" t="inlineStr">
        <x:is>
          <x:t xml:space="preserve">Apple Pay</x:t>
        </x:is>
      </x:c>
      <x:c r="S318" t="inlineStr">
        <x:is>
          <x:t xml:space="preserve">Returning</x:t>
        </x:is>
      </x:c>
    </x:row>
    <x:row r="319">
      <x:c r="A319" t="inlineStr">
        <x:is>
          <x:t xml:space="preserve">T100319</x:t>
        </x:is>
      </x:c>
      <x:c r="B319" s="10" t="n">
        <x:v>45444</x:v>
      </x:c>
      <x:c r="C319" t="inlineStr">
        <x:is>
          <x:t xml:space="preserve">S002</x:t>
        </x:is>
      </x:c>
      <x:c r="D319" t="inlineStr">
        <x:is>
          <x:t xml:space="preserve">Brickell</x:t>
        </x:is>
      </x:c>
      <x:c r="E319" t="inlineStr">
        <x:is>
          <x:t xml:space="preserve">Gabriel Samra</x:t>
        </x:is>
      </x:c>
      <x:c r="F319" t="inlineStr">
        <x:is>
          <x:t xml:space="preserve">GS005</x:t>
        </x:is>
      </x:c>
      <x:c r="G319" t="inlineStr">
        <x:is>
          <x:t xml:space="preserve">Hair Oil Serum</x:t>
        </x:is>
      </x:c>
      <x:c r="H319" t="inlineStr">
        <x:is>
          <x:t xml:space="preserve">Styling</x:t>
        </x:is>
      </x:c>
      <x:c r="I319" t="inlineStr">
        <x:is>
          <x:t xml:space="preserve">Daniel</x:t>
        </x:is>
      </x:c>
      <x:c r="J319" t="n">
        <x:v>82</x:v>
      </x:c>
      <x:c r="K319" t="n">
        <x:v>12.31</x:v>
      </x:c>
      <x:c r="L319" t="n">
        <x:v>38.35</x:v>
      </x:c>
      <x:c r="M319" t="n">
        <x:v>0</x:v>
      </x:c>
      <x:c r="N319" t="n">
        <x:v>3144.7</x:v>
      </x:c>
      <x:c r="O319" t="n">
        <x:v>1009.42</x:v>
      </x:c>
      <x:c r="P319" t="n">
        <x:v>2135.28</x:v>
      </x:c>
      <x:c r="Q319" t="n">
        <x:v>67.90000000000001</x:v>
      </x:c>
      <x:c r="R319" t="inlineStr">
        <x:is>
          <x:t xml:space="preserve">Credit Card</x:t>
        </x:is>
      </x:c>
      <x:c r="S319" t="inlineStr">
        <x:is>
          <x:t xml:space="preserve">Returning</x:t>
        </x:is>
      </x:c>
    </x:row>
    <x:row r="320">
      <x:c r="A320" t="inlineStr">
        <x:is>
          <x:t xml:space="preserve">T100320</x:t>
        </x:is>
      </x:c>
      <x:c r="B320" s="10" t="n">
        <x:v>45474</x:v>
      </x:c>
      <x:c r="C320" t="inlineStr">
        <x:is>
          <x:t xml:space="preserve">S002</x:t>
        </x:is>
      </x:c>
      <x:c r="D320" t="inlineStr">
        <x:is>
          <x:t xml:space="preserve">Brickell</x:t>
        </x:is>
      </x:c>
      <x:c r="E320" t="inlineStr">
        <x:is>
          <x:t xml:space="preserve">Gabriel Samra</x:t>
        </x:is>
      </x:c>
      <x:c r="F320" t="inlineStr">
        <x:is>
          <x:t xml:space="preserve">GS005</x:t>
        </x:is>
      </x:c>
      <x:c r="G320" t="inlineStr">
        <x:is>
          <x:t xml:space="preserve">Hair Oil Serum</x:t>
        </x:is>
      </x:c>
      <x:c r="H320" t="inlineStr">
        <x:is>
          <x:t xml:space="preserve">Styling</x:t>
        </x:is>
      </x:c>
      <x:c r="I320" t="inlineStr">
        <x:is>
          <x:t xml:space="preserve">Sophia</x:t>
        </x:is>
      </x:c>
      <x:c r="J320" t="n">
        <x:v>101</x:v>
      </x:c>
      <x:c r="K320" t="n">
        <x:v>13.24</x:v>
      </x:c>
      <x:c r="L320" t="n">
        <x:v>44.83</x:v>
      </x:c>
      <x:c r="M320" t="n">
        <x:v>0</x:v>
      </x:c>
      <x:c r="N320" t="n">
        <x:v>4527.83</x:v>
      </x:c>
      <x:c r="O320" t="n">
        <x:v>1337.24</x:v>
      </x:c>
      <x:c r="P320" t="n">
        <x:v>3190.59</x:v>
      </x:c>
      <x:c r="Q320" t="n">
        <x:v>70.47</x:v>
      </x:c>
      <x:c r="R320" t="inlineStr">
        <x:is>
          <x:t xml:space="preserve">Apple Pay</x:t>
        </x:is>
      </x:c>
      <x:c r="S320" t="inlineStr">
        <x:is>
          <x:t xml:space="preserve">Returning</x:t>
        </x:is>
      </x:c>
    </x:row>
    <x:row r="321">
      <x:c r="A321" t="inlineStr">
        <x:is>
          <x:t xml:space="preserve">T100321</x:t>
        </x:is>
      </x:c>
      <x:c r="B321" s="10" t="n">
        <x:v>45505</x:v>
      </x:c>
      <x:c r="C321" t="inlineStr">
        <x:is>
          <x:t xml:space="preserve">S002</x:t>
        </x:is>
      </x:c>
      <x:c r="D321" t="inlineStr">
        <x:is>
          <x:t xml:space="preserve">Brickell</x:t>
        </x:is>
      </x:c>
      <x:c r="E321" t="inlineStr">
        <x:is>
          <x:t xml:space="preserve">Gabriel Samra</x:t>
        </x:is>
      </x:c>
      <x:c r="F321" t="inlineStr">
        <x:is>
          <x:t xml:space="preserve">GS005</x:t>
        </x:is>
      </x:c>
      <x:c r="G321" t="inlineStr">
        <x:is>
          <x:t xml:space="preserve">Hair Oil Serum</x:t>
        </x:is>
      </x:c>
      <x:c r="H321" t="inlineStr">
        <x:is>
          <x:t xml:space="preserve">Styling</x:t>
        </x:is>
      </x:c>
      <x:c r="I321" t="inlineStr">
        <x:is>
          <x:t xml:space="preserve">Lucas</x:t>
        </x:is>
      </x:c>
      <x:c r="J321" t="n">
        <x:v>79</x:v>
      </x:c>
      <x:c r="K321" t="n">
        <x:v>31.66</x:v>
      </x:c>
      <x:c r="L321" t="n">
        <x:v>96.61</x:v>
      </x:c>
      <x:c r="M321" t="n">
        <x:v>5</x:v>
      </x:c>
      <x:c r="N321" t="n">
        <x:v>7632.19</x:v>
      </x:c>
      <x:c r="O321" t="n">
        <x:v>2501.14</x:v>
      </x:c>
      <x:c r="P321" t="n">
        <x:v>5131.05</x:v>
      </x:c>
      <x:c r="Q321" t="n">
        <x:v>67.23</x:v>
      </x:c>
      <x:c r="R321" t="inlineStr">
        <x:is>
          <x:t xml:space="preserve">Credit Card</x:t>
        </x:is>
      </x:c>
      <x:c r="S321" t="inlineStr">
        <x:is>
          <x:t xml:space="preserve">Returning</x:t>
        </x:is>
      </x:c>
    </x:row>
    <x:row r="322">
      <x:c r="A322" t="inlineStr">
        <x:is>
          <x:t xml:space="preserve">T100322</x:t>
        </x:is>
      </x:c>
      <x:c r="B322" s="10" t="n">
        <x:v>45536</x:v>
      </x:c>
      <x:c r="C322" t="inlineStr">
        <x:is>
          <x:t xml:space="preserve">S002</x:t>
        </x:is>
      </x:c>
      <x:c r="D322" t="inlineStr">
        <x:is>
          <x:t xml:space="preserve">Brickell</x:t>
        </x:is>
      </x:c>
      <x:c r="E322" t="inlineStr">
        <x:is>
          <x:t xml:space="preserve">Gabriel Samra</x:t>
        </x:is>
      </x:c>
      <x:c r="F322" t="inlineStr">
        <x:is>
          <x:t xml:space="preserve">GS005</x:t>
        </x:is>
      </x:c>
      <x:c r="G322" t="inlineStr">
        <x:is>
          <x:t xml:space="preserve">Hair Oil Serum</x:t>
        </x:is>
      </x:c>
      <x:c r="H322" t="inlineStr">
        <x:is>
          <x:t xml:space="preserve">Styling</x:t>
        </x:is>
      </x:c>
      <x:c r="I322" t="inlineStr">
        <x:is>
          <x:t xml:space="preserve">Emma</x:t>
        </x:is>
      </x:c>
      <x:c r="J322" t="n">
        <x:v>80</x:v>
      </x:c>
      <x:c r="K322" t="n">
        <x:v>24.01</x:v>
      </x:c>
      <x:c r="L322" t="n">
        <x:v>66.55</x:v>
      </x:c>
      <x:c r="M322" t="n">
        <x:v>0</x:v>
      </x:c>
      <x:c r="N322" t="n">
        <x:v>5324</x:v>
      </x:c>
      <x:c r="O322" t="n">
        <x:v>1920.8</x:v>
      </x:c>
      <x:c r="P322" t="n">
        <x:v>3403.2</x:v>
      </x:c>
      <x:c r="Q322" t="n">
        <x:v>63.92</x:v>
      </x:c>
      <x:c r="R322" t="inlineStr">
        <x:is>
          <x:t xml:space="preserve">Apple Pay</x:t>
        </x:is>
      </x:c>
      <x:c r="S322" t="inlineStr">
        <x:is>
          <x:t xml:space="preserve">Returning</x:t>
        </x:is>
      </x:c>
    </x:row>
    <x:row r="323">
      <x:c r="A323" t="inlineStr">
        <x:is>
          <x:t xml:space="preserve">T100323</x:t>
        </x:is>
      </x:c>
      <x:c r="B323" s="10" t="n">
        <x:v>45566</x:v>
      </x:c>
      <x:c r="C323" t="inlineStr">
        <x:is>
          <x:t xml:space="preserve">S002</x:t>
        </x:is>
      </x:c>
      <x:c r="D323" t="inlineStr">
        <x:is>
          <x:t xml:space="preserve">Brickell</x:t>
        </x:is>
      </x:c>
      <x:c r="E323" t="inlineStr">
        <x:is>
          <x:t xml:space="preserve">Gabriel Samra</x:t>
        </x:is>
      </x:c>
      <x:c r="F323" t="inlineStr">
        <x:is>
          <x:t xml:space="preserve">GS005</x:t>
        </x:is>
      </x:c>
      <x:c r="G323" t="inlineStr">
        <x:is>
          <x:t xml:space="preserve">Hair Oil Serum</x:t>
        </x:is>
      </x:c>
      <x:c r="H323" t="inlineStr">
        <x:is>
          <x:t xml:space="preserve">Styling</x:t>
        </x:is>
      </x:c>
      <x:c r="I323" t="inlineStr">
        <x:is>
          <x:t xml:space="preserve">Emma</x:t>
        </x:is>
      </x:c>
      <x:c r="J323" t="n">
        <x:v>77</x:v>
      </x:c>
      <x:c r="K323" t="n">
        <x:v>21.4</x:v>
      </x:c>
      <x:c r="L323" t="n">
        <x:v>62.36</x:v>
      </x:c>
      <x:c r="M323" t="n">
        <x:v>0</x:v>
      </x:c>
      <x:c r="N323" t="n">
        <x:v>4801.72</x:v>
      </x:c>
      <x:c r="O323" t="n">
        <x:v>1647.8</x:v>
      </x:c>
      <x:c r="P323" t="n">
        <x:v>3153.92</x:v>
      </x:c>
      <x:c r="Q323" t="n">
        <x:v>65.68000000000001</x:v>
      </x:c>
      <x:c r="R323" t="inlineStr">
        <x:is>
          <x:t xml:space="preserve">Credit Card</x:t>
        </x:is>
      </x:c>
      <x:c r="S323" t="inlineStr">
        <x:is>
          <x:t xml:space="preserve">Returning</x:t>
        </x:is>
      </x:c>
    </x:row>
    <x:row r="324">
      <x:c r="A324" t="inlineStr">
        <x:is>
          <x:t xml:space="preserve">T100324</x:t>
        </x:is>
      </x:c>
      <x:c r="B324" s="10" t="n">
        <x:v>45597</x:v>
      </x:c>
      <x:c r="C324" t="inlineStr">
        <x:is>
          <x:t xml:space="preserve">S002</x:t>
        </x:is>
      </x:c>
      <x:c r="D324" t="inlineStr">
        <x:is>
          <x:t xml:space="preserve">Brickell</x:t>
        </x:is>
      </x:c>
      <x:c r="E324" t="inlineStr">
        <x:is>
          <x:t xml:space="preserve">Gabriel Samra</x:t>
        </x:is>
      </x:c>
      <x:c r="F324" t="inlineStr">
        <x:is>
          <x:t xml:space="preserve">GS005</x:t>
        </x:is>
      </x:c>
      <x:c r="G324" t="inlineStr">
        <x:is>
          <x:t xml:space="preserve">Hair Oil Serum</x:t>
        </x:is>
      </x:c>
      <x:c r="H324" t="inlineStr">
        <x:is>
          <x:t xml:space="preserve">Styling</x:t>
        </x:is>
      </x:c>
      <x:c r="I324" t="inlineStr">
        <x:is>
          <x:t xml:space="preserve">Olivia</x:t>
        </x:is>
      </x:c>
      <x:c r="J324" t="n">
        <x:v>106</x:v>
      </x:c>
      <x:c r="K324" t="n">
        <x:v>20.86</x:v>
      </x:c>
      <x:c r="L324" t="n">
        <x:v>57.68</x:v>
      </x:c>
      <x:c r="M324" t="n">
        <x:v>10</x:v>
      </x:c>
      <x:c r="N324" t="n">
        <x:v>6114.08</x:v>
      </x:c>
      <x:c r="O324" t="n">
        <x:v>2211.16</x:v>
      </x:c>
      <x:c r="P324" t="n">
        <x:v>3902.92</x:v>
      </x:c>
      <x:c r="Q324" t="n">
        <x:v>63.83</x:v>
      </x:c>
      <x:c r="R324" t="inlineStr">
        <x:is>
          <x:t xml:space="preserve">Apple Pay</x:t>
        </x:is>
      </x:c>
      <x:c r="S324" t="inlineStr">
        <x:is>
          <x:t xml:space="preserve">Returning</x:t>
        </x:is>
      </x:c>
    </x:row>
    <x:row r="325">
      <x:c r="A325" t="inlineStr">
        <x:is>
          <x:t xml:space="preserve">T100325</x:t>
        </x:is>
      </x:c>
      <x:c r="B325" s="10" t="n">
        <x:v>45627</x:v>
      </x:c>
      <x:c r="C325" t="inlineStr">
        <x:is>
          <x:t xml:space="preserve">S002</x:t>
        </x:is>
      </x:c>
      <x:c r="D325" t="inlineStr">
        <x:is>
          <x:t xml:space="preserve">Brickell</x:t>
        </x:is>
      </x:c>
      <x:c r="E325" t="inlineStr">
        <x:is>
          <x:t xml:space="preserve">Gabriel Samra</x:t>
        </x:is>
      </x:c>
      <x:c r="F325" t="inlineStr">
        <x:is>
          <x:t xml:space="preserve">GS005</x:t>
        </x:is>
      </x:c>
      <x:c r="G325" t="inlineStr">
        <x:is>
          <x:t xml:space="preserve">Hair Oil Serum</x:t>
        </x:is>
      </x:c>
      <x:c r="H325" t="inlineStr">
        <x:is>
          <x:t xml:space="preserve">Styling</x:t>
        </x:is>
      </x:c>
      <x:c r="I325" t="inlineStr">
        <x:is>
          <x:t xml:space="preserve">Daniel</x:t>
        </x:is>
      </x:c>
      <x:c r="J325" t="n">
        <x:v>119</x:v>
      </x:c>
      <x:c r="K325" t="n">
        <x:v>18.3</x:v>
      </x:c>
      <x:c r="L325" t="n">
        <x:v>42.44</x:v>
      </x:c>
      <x:c r="M325" t="n">
        <x:v>0</x:v>
      </x:c>
      <x:c r="N325" t="n">
        <x:v>5050.36</x:v>
      </x:c>
      <x:c r="O325" t="n">
        <x:v>2177.7</x:v>
      </x:c>
      <x:c r="P325" t="n">
        <x:v>2872.66</x:v>
      </x:c>
      <x:c r="Q325" t="n">
        <x:v>56.88</x:v>
      </x:c>
      <x:c r="R325" t="inlineStr">
        <x:is>
          <x:t xml:space="preserve">Credit Card</x:t>
        </x:is>
      </x:c>
      <x:c r="S325" t="inlineStr">
        <x:is>
          <x:t xml:space="preserve">Returning</x:t>
        </x:is>
      </x:c>
    </x:row>
    <x:row r="326">
      <x:c r="A326" t="inlineStr">
        <x:is>
          <x:t xml:space="preserve">T100326</x:t>
        </x:is>
      </x:c>
      <x:c r="B326" s="10" t="n">
        <x:v>45658</x:v>
      </x:c>
      <x:c r="C326" t="inlineStr">
        <x:is>
          <x:t xml:space="preserve">S002</x:t>
        </x:is>
      </x:c>
      <x:c r="D326" t="inlineStr">
        <x:is>
          <x:t xml:space="preserve">Brickell</x:t>
        </x:is>
      </x:c>
      <x:c r="E326" t="inlineStr">
        <x:is>
          <x:t xml:space="preserve">Gabriel Samra</x:t>
        </x:is>
      </x:c>
      <x:c r="F326" t="inlineStr">
        <x:is>
          <x:t xml:space="preserve">GS005</x:t>
        </x:is>
      </x:c>
      <x:c r="G326" t="inlineStr">
        <x:is>
          <x:t xml:space="preserve">Hair Oil Serum</x:t>
        </x:is>
      </x:c>
      <x:c r="H326" t="inlineStr">
        <x:is>
          <x:t xml:space="preserve">Styling</x:t>
        </x:is>
      </x:c>
      <x:c r="I326" t="inlineStr">
        <x:is>
          <x:t xml:space="preserve">Daniel</x:t>
        </x:is>
      </x:c>
      <x:c r="J326" t="n">
        <x:v>103</x:v>
      </x:c>
      <x:c r="K326" t="n">
        <x:v>28.42</x:v>
      </x:c>
      <x:c r="L326" t="n">
        <x:v>76.08</x:v>
      </x:c>
      <x:c r="M326" t="n">
        <x:v>0</x:v>
      </x:c>
      <x:c r="N326" t="n">
        <x:v>7836.24</x:v>
      </x:c>
      <x:c r="O326" t="n">
        <x:v>2927.26</x:v>
      </x:c>
      <x:c r="P326" t="n">
        <x:v>4908.98</x:v>
      </x:c>
      <x:c r="Q326" t="n">
        <x:v>62.64</x:v>
      </x:c>
      <x:c r="R326" t="inlineStr">
        <x:is>
          <x:t xml:space="preserve">Credit Card</x:t>
        </x:is>
      </x:c>
      <x:c r="S326" t="inlineStr">
        <x:is>
          <x:t xml:space="preserve">New</x:t>
        </x:is>
      </x:c>
    </x:row>
    <x:row r="327">
      <x:c r="A327" t="inlineStr">
        <x:is>
          <x:t xml:space="preserve">T100327</x:t>
        </x:is>
      </x:c>
      <x:c r="B327" s="10" t="n">
        <x:v>45689</x:v>
      </x:c>
      <x:c r="C327" t="inlineStr">
        <x:is>
          <x:t xml:space="preserve">S002</x:t>
        </x:is>
      </x:c>
      <x:c r="D327" t="inlineStr">
        <x:is>
          <x:t xml:space="preserve">Brickell</x:t>
        </x:is>
      </x:c>
      <x:c r="E327" t="inlineStr">
        <x:is>
          <x:t xml:space="preserve">Gabriel Samra</x:t>
        </x:is>
      </x:c>
      <x:c r="F327" t="inlineStr">
        <x:is>
          <x:t xml:space="preserve">GS005</x:t>
        </x:is>
      </x:c>
      <x:c r="G327" t="inlineStr">
        <x:is>
          <x:t xml:space="preserve">Hair Oil Serum</x:t>
        </x:is>
      </x:c>
      <x:c r="H327" t="inlineStr">
        <x:is>
          <x:t xml:space="preserve">Styling</x:t>
        </x:is>
      </x:c>
      <x:c r="I327" t="inlineStr">
        <x:is>
          <x:t xml:space="preserve">Emma</x:t>
        </x:is>
      </x:c>
      <x:c r="J327" t="n">
        <x:v>94</x:v>
      </x:c>
      <x:c r="K327" t="n">
        <x:v>15.36</x:v>
      </x:c>
      <x:c r="L327" t="n">
        <x:v>44.84</x:v>
      </x:c>
      <x:c r="M327" t="n">
        <x:v>5</x:v>
      </x:c>
      <x:c r="N327" t="n">
        <x:v>4214.96</x:v>
      </x:c>
      <x:c r="O327" t="n">
        <x:v>1443.84</x:v>
      </x:c>
      <x:c r="P327" t="n">
        <x:v>2771.12</x:v>
      </x:c>
      <x:c r="Q327" t="n">
        <x:v>65.73999999999999</x:v>
      </x:c>
      <x:c r="R327" t="inlineStr">
        <x:is>
          <x:t xml:space="preserve">Apple Pay</x:t>
        </x:is>
      </x:c>
      <x:c r="S327" t="inlineStr">
        <x:is>
          <x:t xml:space="preserve">Returning</x:t>
        </x:is>
      </x:c>
    </x:row>
    <x:row r="328">
      <x:c r="A328" t="inlineStr">
        <x:is>
          <x:t xml:space="preserve">T100328</x:t>
        </x:is>
      </x:c>
      <x:c r="B328" s="10" t="n">
        <x:v>45717</x:v>
      </x:c>
      <x:c r="C328" t="inlineStr">
        <x:is>
          <x:t xml:space="preserve">S002</x:t>
        </x:is>
      </x:c>
      <x:c r="D328" t="inlineStr">
        <x:is>
          <x:t xml:space="preserve">Brickell</x:t>
        </x:is>
      </x:c>
      <x:c r="E328" t="inlineStr">
        <x:is>
          <x:t xml:space="preserve">Gabriel Samra</x:t>
        </x:is>
      </x:c>
      <x:c r="F328" t="inlineStr">
        <x:is>
          <x:t xml:space="preserve">GS005</x:t>
        </x:is>
      </x:c>
      <x:c r="G328" t="inlineStr">
        <x:is>
          <x:t xml:space="preserve">Hair Oil Serum</x:t>
        </x:is>
      </x:c>
      <x:c r="H328" t="inlineStr">
        <x:is>
          <x:t xml:space="preserve">Styling</x:t>
        </x:is>
      </x:c>
      <x:c r="I328" t="inlineStr">
        <x:is>
          <x:t xml:space="preserve">Sophia</x:t>
        </x:is>
      </x:c>
      <x:c r="J328" t="n">
        <x:v>106</x:v>
      </x:c>
      <x:c r="K328" t="n">
        <x:v>19.28</x:v>
      </x:c>
      <x:c r="L328" t="n">
        <x:v>55.24</x:v>
      </x:c>
      <x:c r="M328" t="n">
        <x:v>10</x:v>
      </x:c>
      <x:c r="N328" t="n">
        <x:v>5855.44</x:v>
      </x:c>
      <x:c r="O328" t="n">
        <x:v>2043.68</x:v>
      </x:c>
      <x:c r="P328" t="n">
        <x:v>3811.76</x:v>
      </x:c>
      <x:c r="Q328" t="n">
        <x:v>65.09999999999999</x:v>
      </x:c>
      <x:c r="R328" t="inlineStr">
        <x:is>
          <x:t xml:space="preserve">Cash</x:t>
        </x:is>
      </x:c>
      <x:c r="S328" t="inlineStr">
        <x:is>
          <x:t xml:space="preserve">Returning</x:t>
        </x:is>
      </x:c>
    </x:row>
    <x:row r="329">
      <x:c r="A329" t="inlineStr">
        <x:is>
          <x:t xml:space="preserve">T100329</x:t>
        </x:is>
      </x:c>
      <x:c r="B329" s="10" t="n">
        <x:v>45748</x:v>
      </x:c>
      <x:c r="C329" t="inlineStr">
        <x:is>
          <x:t xml:space="preserve">S002</x:t>
        </x:is>
      </x:c>
      <x:c r="D329" t="inlineStr">
        <x:is>
          <x:t xml:space="preserve">Brickell</x:t>
        </x:is>
      </x:c>
      <x:c r="E329" t="inlineStr">
        <x:is>
          <x:t xml:space="preserve">Gabriel Samra</x:t>
        </x:is>
      </x:c>
      <x:c r="F329" t="inlineStr">
        <x:is>
          <x:t xml:space="preserve">GS005</x:t>
        </x:is>
      </x:c>
      <x:c r="G329" t="inlineStr">
        <x:is>
          <x:t xml:space="preserve">Hair Oil Serum</x:t>
        </x:is>
      </x:c>
      <x:c r="H329" t="inlineStr">
        <x:is>
          <x:t xml:space="preserve">Styling</x:t>
        </x:is>
      </x:c>
      <x:c r="I329" t="inlineStr">
        <x:is>
          <x:t xml:space="preserve">Lucas</x:t>
        </x:is>
      </x:c>
      <x:c r="J329" t="n">
        <x:v>108</x:v>
      </x:c>
      <x:c r="K329" t="n">
        <x:v>12.63</x:v>
      </x:c>
      <x:c r="L329" t="n">
        <x:v>37.31</x:v>
      </x:c>
      <x:c r="M329" t="n">
        <x:v>0</x:v>
      </x:c>
      <x:c r="N329" t="n">
        <x:v>4029.48</x:v>
      </x:c>
      <x:c r="O329" t="n">
        <x:v>1364.04</x:v>
      </x:c>
      <x:c r="P329" t="n">
        <x:v>2665.44</x:v>
      </x:c>
      <x:c r="Q329" t="n">
        <x:v>66.15000000000001</x:v>
      </x:c>
      <x:c r="R329" t="inlineStr">
        <x:is>
          <x:t xml:space="preserve">Apple Pay</x:t>
        </x:is>
      </x:c>
      <x:c r="S329" t="inlineStr">
        <x:is>
          <x:t xml:space="preserve">Returning</x:t>
        </x:is>
      </x:c>
    </x:row>
    <x:row r="330">
      <x:c r="A330" t="inlineStr">
        <x:is>
          <x:t xml:space="preserve">T100330</x:t>
        </x:is>
      </x:c>
      <x:c r="B330" s="10" t="n">
        <x:v>45778</x:v>
      </x:c>
      <x:c r="C330" t="inlineStr">
        <x:is>
          <x:t xml:space="preserve">S002</x:t>
        </x:is>
      </x:c>
      <x:c r="D330" t="inlineStr">
        <x:is>
          <x:t xml:space="preserve">Brickell</x:t>
        </x:is>
      </x:c>
      <x:c r="E330" t="inlineStr">
        <x:is>
          <x:t xml:space="preserve">Gabriel Samra</x:t>
        </x:is>
      </x:c>
      <x:c r="F330" t="inlineStr">
        <x:is>
          <x:t xml:space="preserve">GS005</x:t>
        </x:is>
      </x:c>
      <x:c r="G330" t="inlineStr">
        <x:is>
          <x:t xml:space="preserve">Hair Oil Serum</x:t>
        </x:is>
      </x:c>
      <x:c r="H330" t="inlineStr">
        <x:is>
          <x:t xml:space="preserve">Styling</x:t>
        </x:is>
      </x:c>
      <x:c r="I330" t="inlineStr">
        <x:is>
          <x:t xml:space="preserve">Sophia</x:t>
        </x:is>
      </x:c>
      <x:c r="J330" t="n">
        <x:v>91</x:v>
      </x:c>
      <x:c r="K330" t="n">
        <x:v>31.98</x:v>
      </x:c>
      <x:c r="L330" t="n">
        <x:v>80.7</x:v>
      </x:c>
      <x:c r="M330" t="n">
        <x:v>0</x:v>
      </x:c>
      <x:c r="N330" t="n">
        <x:v>7343.7</x:v>
      </x:c>
      <x:c r="O330" t="n">
        <x:v>2910.18</x:v>
      </x:c>
      <x:c r="P330" t="n">
        <x:v>4433.52</x:v>
      </x:c>
      <x:c r="Q330" t="n">
        <x:v>60.37</x:v>
      </x:c>
      <x:c r="R330" t="inlineStr">
        <x:is>
          <x:t xml:space="preserve">Apple Pay</x:t>
        </x:is>
      </x:c>
      <x:c r="S330" t="inlineStr">
        <x:is>
          <x:t xml:space="preserve">New</x:t>
        </x:is>
      </x:c>
    </x:row>
    <x:row r="331">
      <x:c r="A331" t="inlineStr">
        <x:is>
          <x:t xml:space="preserve">T100331</x:t>
        </x:is>
      </x:c>
      <x:c r="B331" s="10" t="n">
        <x:v>45809</x:v>
      </x:c>
      <x:c r="C331" t="inlineStr">
        <x:is>
          <x:t xml:space="preserve">S002</x:t>
        </x:is>
      </x:c>
      <x:c r="D331" t="inlineStr">
        <x:is>
          <x:t xml:space="preserve">Brickell</x:t>
        </x:is>
      </x:c>
      <x:c r="E331" t="inlineStr">
        <x:is>
          <x:t xml:space="preserve">Gabriel Samra</x:t>
        </x:is>
      </x:c>
      <x:c r="F331" t="inlineStr">
        <x:is>
          <x:t xml:space="preserve">GS005</x:t>
        </x:is>
      </x:c>
      <x:c r="G331" t="inlineStr">
        <x:is>
          <x:t xml:space="preserve">Hair Oil Serum</x:t>
        </x:is>
      </x:c>
      <x:c r="H331" t="inlineStr">
        <x:is>
          <x:t xml:space="preserve">Styling</x:t>
        </x:is>
      </x:c>
      <x:c r="I331" t="inlineStr">
        <x:is>
          <x:t xml:space="preserve">Sophia</x:t>
        </x:is>
      </x:c>
      <x:c r="J331" t="n">
        <x:v>130</x:v>
      </x:c>
      <x:c r="K331" t="n">
        <x:v>25.65</x:v>
      </x:c>
      <x:c r="L331" t="n">
        <x:v>54.79</x:v>
      </x:c>
      <x:c r="M331" t="n">
        <x:v>5</x:v>
      </x:c>
      <x:c r="N331" t="n">
        <x:v>7122.7</x:v>
      </x:c>
      <x:c r="O331" t="n">
        <x:v>3334.5</x:v>
      </x:c>
      <x:c r="P331" t="n">
        <x:v>3788.2</x:v>
      </x:c>
      <x:c r="Q331" t="n">
        <x:v>53.18</x:v>
      </x:c>
      <x:c r="R331" t="inlineStr">
        <x:is>
          <x:t xml:space="preserve">Credit Card</x:t>
        </x:is>
      </x:c>
      <x:c r="S331" t="inlineStr">
        <x:is>
          <x:t xml:space="preserve">Returning</x:t>
        </x:is>
      </x:c>
    </x:row>
    <x:row r="332">
      <x:c r="A332" t="inlineStr">
        <x:is>
          <x:t xml:space="preserve">T100332</x:t>
        </x:is>
      </x:c>
      <x:c r="B332" s="10" t="n">
        <x:v>45292</x:v>
      </x:c>
      <x:c r="C332" t="inlineStr">
        <x:is>
          <x:t xml:space="preserve">S003</x:t>
        </x:is>
      </x:c>
      <x:c r="D332" t="inlineStr">
        <x:is>
          <x:t xml:space="preserve">Coral Gables</x:t>
        </x:is>
      </x:c>
      <x:c r="E332" t="inlineStr">
        <x:is>
          <x:t xml:space="preserve">Gabriel Samra</x:t>
        </x:is>
      </x:c>
      <x:c r="F332" t="inlineStr">
        <x:is>
          <x:t xml:space="preserve">GS001</x:t>
        </x:is>
      </x:c>
      <x:c r="G332" t="inlineStr">
        <x:is>
          <x:t xml:space="preserve">Keratin Treatment</x:t>
        </x:is>
      </x:c>
      <x:c r="H332" t="inlineStr">
        <x:is>
          <x:t xml:space="preserve">Hair Treatment</x:t>
        </x:is>
      </x:c>
      <x:c r="I332" t="inlineStr">
        <x:is>
          <x:t xml:space="preserve">Lucas</x:t>
        </x:is>
      </x:c>
      <x:c r="J332" t="n">
        <x:v>59</x:v>
      </x:c>
      <x:c r="K332" t="n">
        <x:v>14.58</x:v>
      </x:c>
      <x:c r="L332" t="n">
        <x:v>36.45</x:v>
      </x:c>
      <x:c r="M332" t="n">
        <x:v>10</x:v>
      </x:c>
      <x:c r="N332" t="n">
        <x:v>2150.55</x:v>
      </x:c>
      <x:c r="O332" t="n">
        <x:v>860.22</x:v>
      </x:c>
      <x:c r="P332" t="n">
        <x:v>1290.33</x:v>
      </x:c>
      <x:c r="Q332" t="n">
        <x:v>60</x:v>
      </x:c>
      <x:c r="R332" t="inlineStr">
        <x:is>
          <x:t xml:space="preserve">Cash</x:t>
        </x:is>
      </x:c>
      <x:c r="S332" t="inlineStr">
        <x:is>
          <x:t xml:space="preserve">New</x:t>
        </x:is>
      </x:c>
    </x:row>
    <x:row r="333">
      <x:c r="A333" t="inlineStr">
        <x:is>
          <x:t xml:space="preserve">T100333</x:t>
        </x:is>
      </x:c>
      <x:c r="B333" s="10" t="n">
        <x:v>45323</x:v>
      </x:c>
      <x:c r="C333" t="inlineStr">
        <x:is>
          <x:t xml:space="preserve">S003</x:t>
        </x:is>
      </x:c>
      <x:c r="D333" t="inlineStr">
        <x:is>
          <x:t xml:space="preserve">Coral Gables</x:t>
        </x:is>
      </x:c>
      <x:c r="E333" t="inlineStr">
        <x:is>
          <x:t xml:space="preserve">Gabriel Samra</x:t>
        </x:is>
      </x:c>
      <x:c r="F333" t="inlineStr">
        <x:is>
          <x:t xml:space="preserve">GS001</x:t>
        </x:is>
      </x:c>
      <x:c r="G333" t="inlineStr">
        <x:is>
          <x:t xml:space="preserve">Keratin Treatment</x:t>
        </x:is>
      </x:c>
      <x:c r="H333" t="inlineStr">
        <x:is>
          <x:t xml:space="preserve">Hair Treatment</x:t>
        </x:is>
      </x:c>
      <x:c r="I333" t="inlineStr">
        <x:is>
          <x:t xml:space="preserve">Lucas</x:t>
        </x:is>
      </x:c>
      <x:c r="J333" t="n">
        <x:v>74</x:v>
      </x:c>
      <x:c r="K333" t="n">
        <x:v>34.59</x:v>
      </x:c>
      <x:c r="L333" t="n">
        <x:v>85.48</x:v>
      </x:c>
      <x:c r="M333" t="n">
        <x:v>0</x:v>
      </x:c>
      <x:c r="N333" t="n">
        <x:v>6325.52</x:v>
      </x:c>
      <x:c r="O333" t="n">
        <x:v>2559.66</x:v>
      </x:c>
      <x:c r="P333" t="n">
        <x:v>3765.86</x:v>
      </x:c>
      <x:c r="Q333" t="n">
        <x:v>59.53</x:v>
      </x:c>
      <x:c r="R333" t="inlineStr">
        <x:is>
          <x:t xml:space="preserve">Apple Pay</x:t>
        </x:is>
      </x:c>
      <x:c r="S333" t="inlineStr">
        <x:is>
          <x:t xml:space="preserve">New</x:t>
        </x:is>
      </x:c>
    </x:row>
    <x:row r="334">
      <x:c r="A334" t="inlineStr">
        <x:is>
          <x:t xml:space="preserve">T100334</x:t>
        </x:is>
      </x:c>
      <x:c r="B334" s="10" t="n">
        <x:v>45352</x:v>
      </x:c>
      <x:c r="C334" t="inlineStr">
        <x:is>
          <x:t xml:space="preserve">S003</x:t>
        </x:is>
      </x:c>
      <x:c r="D334" t="inlineStr">
        <x:is>
          <x:t xml:space="preserve">Coral Gables</x:t>
        </x:is>
      </x:c>
      <x:c r="E334" t="inlineStr">
        <x:is>
          <x:t xml:space="preserve">Gabriel Samra</x:t>
        </x:is>
      </x:c>
      <x:c r="F334" t="inlineStr">
        <x:is>
          <x:t xml:space="preserve">GS001</x:t>
        </x:is>
      </x:c>
      <x:c r="G334" t="inlineStr">
        <x:is>
          <x:t xml:space="preserve">Keratin Treatment</x:t>
        </x:is>
      </x:c>
      <x:c r="H334" t="inlineStr">
        <x:is>
          <x:t xml:space="preserve">Hair Treatment</x:t>
        </x:is>
      </x:c>
      <x:c r="I334" t="inlineStr">
        <x:is>
          <x:t xml:space="preserve">Emma</x:t>
        </x:is>
      </x:c>
      <x:c r="J334" t="n">
        <x:v>80</x:v>
      </x:c>
      <x:c r="K334" t="n">
        <x:v>14.22</x:v>
      </x:c>
      <x:c r="L334" t="n">
        <x:v>40.11</x:v>
      </x:c>
      <x:c r="M334" t="n">
        <x:v>0</x:v>
      </x:c>
      <x:c r="N334" t="n">
        <x:v>3208.8</x:v>
      </x:c>
      <x:c r="O334" t="n">
        <x:v>1137.6</x:v>
      </x:c>
      <x:c r="P334" t="n">
        <x:v>2071.2</x:v>
      </x:c>
      <x:c r="Q334" t="n">
        <x:v>64.55</x:v>
      </x:c>
      <x:c r="R334" t="inlineStr">
        <x:is>
          <x:t xml:space="preserve">Credit Card</x:t>
        </x:is>
      </x:c>
      <x:c r="S334" t="inlineStr">
        <x:is>
          <x:t xml:space="preserve">New</x:t>
        </x:is>
      </x:c>
    </x:row>
    <x:row r="335">
      <x:c r="A335" t="inlineStr">
        <x:is>
          <x:t xml:space="preserve">T100335</x:t>
        </x:is>
      </x:c>
      <x:c r="B335" s="10" t="n">
        <x:v>45383</x:v>
      </x:c>
      <x:c r="C335" t="inlineStr">
        <x:is>
          <x:t xml:space="preserve">S003</x:t>
        </x:is>
      </x:c>
      <x:c r="D335" t="inlineStr">
        <x:is>
          <x:t xml:space="preserve">Coral Gables</x:t>
        </x:is>
      </x:c>
      <x:c r="E335" t="inlineStr">
        <x:is>
          <x:t xml:space="preserve">Gabriel Samra</x:t>
        </x:is>
      </x:c>
      <x:c r="F335" t="inlineStr">
        <x:is>
          <x:t xml:space="preserve">GS001</x:t>
        </x:is>
      </x:c>
      <x:c r="G335" t="inlineStr">
        <x:is>
          <x:t xml:space="preserve">Keratin Treatment</x:t>
        </x:is>
      </x:c>
      <x:c r="H335" t="inlineStr">
        <x:is>
          <x:t xml:space="preserve">Hair Treatment</x:t>
        </x:is>
      </x:c>
      <x:c r="I335" t="inlineStr">
        <x:is>
          <x:t xml:space="preserve">Daniel</x:t>
        </x:is>
      </x:c>
      <x:c r="J335" t="n">
        <x:v>79</x:v>
      </x:c>
      <x:c r="K335" t="n">
        <x:v>17.7</x:v>
      </x:c>
      <x:c r="L335" t="n">
        <x:v>41.85</x:v>
      </x:c>
      <x:c r="M335" t="n">
        <x:v>0</x:v>
      </x:c>
      <x:c r="N335" t="n">
        <x:v>3306.15</x:v>
      </x:c>
      <x:c r="O335" t="n">
        <x:v>1398.3</x:v>
      </x:c>
      <x:c r="P335" t="n">
        <x:v>1907.85</x:v>
      </x:c>
      <x:c r="Q335" t="n">
        <x:v>57.71</x:v>
      </x:c>
      <x:c r="R335" t="inlineStr">
        <x:is>
          <x:t xml:space="preserve">Cash</x:t>
        </x:is>
      </x:c>
      <x:c r="S335" t="inlineStr">
        <x:is>
          <x:t xml:space="preserve">New</x:t>
        </x:is>
      </x:c>
    </x:row>
    <x:row r="336">
      <x:c r="A336" t="inlineStr">
        <x:is>
          <x:t xml:space="preserve">T100336</x:t>
        </x:is>
      </x:c>
      <x:c r="B336" s="10" t="n">
        <x:v>45413</x:v>
      </x:c>
      <x:c r="C336" t="inlineStr">
        <x:is>
          <x:t xml:space="preserve">S003</x:t>
        </x:is>
      </x:c>
      <x:c r="D336" t="inlineStr">
        <x:is>
          <x:t xml:space="preserve">Coral Gables</x:t>
        </x:is>
      </x:c>
      <x:c r="E336" t="inlineStr">
        <x:is>
          <x:t xml:space="preserve">Gabriel Samra</x:t>
        </x:is>
      </x:c>
      <x:c r="F336" t="inlineStr">
        <x:is>
          <x:t xml:space="preserve">GS001</x:t>
        </x:is>
      </x:c>
      <x:c r="G336" t="inlineStr">
        <x:is>
          <x:t xml:space="preserve">Keratin Treatment</x:t>
        </x:is>
      </x:c>
      <x:c r="H336" t="inlineStr">
        <x:is>
          <x:t xml:space="preserve">Hair Treatment</x:t>
        </x:is>
      </x:c>
      <x:c r="I336" t="inlineStr">
        <x:is>
          <x:t xml:space="preserve">Olivia</x:t>
        </x:is>
      </x:c>
      <x:c r="J336" t="n">
        <x:v>72</x:v>
      </x:c>
      <x:c r="K336" t="n">
        <x:v>29.37</x:v>
      </x:c>
      <x:c r="L336" t="n">
        <x:v>68.40000000000001</x:v>
      </x:c>
      <x:c r="M336" t="n">
        <x:v>0</x:v>
      </x:c>
      <x:c r="N336" t="n">
        <x:v>4924.8</x:v>
      </x:c>
      <x:c r="O336" t="n">
        <x:v>2114.64</x:v>
      </x:c>
      <x:c r="P336" t="n">
        <x:v>2810.16</x:v>
      </x:c>
      <x:c r="Q336" t="n">
        <x:v>57.06</x:v>
      </x:c>
      <x:c r="R336" t="inlineStr">
        <x:is>
          <x:t xml:space="preserve">Credit Card</x:t>
        </x:is>
      </x:c>
      <x:c r="S336" t="inlineStr">
        <x:is>
          <x:t xml:space="preserve">New</x:t>
        </x:is>
      </x:c>
    </x:row>
    <x:row r="337">
      <x:c r="A337" t="inlineStr">
        <x:is>
          <x:t xml:space="preserve">T100337</x:t>
        </x:is>
      </x:c>
      <x:c r="B337" s="10" t="n">
        <x:v>45444</x:v>
      </x:c>
      <x:c r="C337" t="inlineStr">
        <x:is>
          <x:t xml:space="preserve">S003</x:t>
        </x:is>
      </x:c>
      <x:c r="D337" t="inlineStr">
        <x:is>
          <x:t xml:space="preserve">Coral Gables</x:t>
        </x:is>
      </x:c>
      <x:c r="E337" t="inlineStr">
        <x:is>
          <x:t xml:space="preserve">Gabriel Samra</x:t>
        </x:is>
      </x:c>
      <x:c r="F337" t="inlineStr">
        <x:is>
          <x:t xml:space="preserve">GS001</x:t>
        </x:is>
      </x:c>
      <x:c r="G337" t="inlineStr">
        <x:is>
          <x:t xml:space="preserve">Keratin Treatment</x:t>
        </x:is>
      </x:c>
      <x:c r="H337" t="inlineStr">
        <x:is>
          <x:t xml:space="preserve">Hair Treatment</x:t>
        </x:is>
      </x:c>
      <x:c r="I337" t="inlineStr">
        <x:is>
          <x:t xml:space="preserve">Olivia</x:t>
        </x:is>
      </x:c>
      <x:c r="J337" t="n">
        <x:v>116</x:v>
      </x:c>
      <x:c r="K337" t="n">
        <x:v>28.23</x:v>
      </x:c>
      <x:c r="L337" t="n">
        <x:v>77.92</x:v>
      </x:c>
      <x:c r="M337" t="n">
        <x:v>0</x:v>
      </x:c>
      <x:c r="N337" t="n">
        <x:v>9038.719999999999</x:v>
      </x:c>
      <x:c r="O337" t="n">
        <x:v>3274.68</x:v>
      </x:c>
      <x:c r="P337" t="n">
        <x:v>5764.04</x:v>
      </x:c>
      <x:c r="Q337" t="n">
        <x:v>63.77</x:v>
      </x:c>
      <x:c r="R337" t="inlineStr">
        <x:is>
          <x:t xml:space="preserve">Apple Pay</x:t>
        </x:is>
      </x:c>
      <x:c r="S337" t="inlineStr">
        <x:is>
          <x:t xml:space="preserve">Returning</x:t>
        </x:is>
      </x:c>
    </x:row>
    <x:row r="338">
      <x:c r="A338" t="inlineStr">
        <x:is>
          <x:t xml:space="preserve">T100338</x:t>
        </x:is>
      </x:c>
      <x:c r="B338" s="10" t="n">
        <x:v>45474</x:v>
      </x:c>
      <x:c r="C338" t="inlineStr">
        <x:is>
          <x:t xml:space="preserve">S003</x:t>
        </x:is>
      </x:c>
      <x:c r="D338" t="inlineStr">
        <x:is>
          <x:t xml:space="preserve">Coral Gables</x:t>
        </x:is>
      </x:c>
      <x:c r="E338" t="inlineStr">
        <x:is>
          <x:t xml:space="preserve">Gabriel Samra</x:t>
        </x:is>
      </x:c>
      <x:c r="F338" t="inlineStr">
        <x:is>
          <x:t xml:space="preserve">GS001</x:t>
        </x:is>
      </x:c>
      <x:c r="G338" t="inlineStr">
        <x:is>
          <x:t xml:space="preserve">Keratin Treatment</x:t>
        </x:is>
      </x:c>
      <x:c r="H338" t="inlineStr">
        <x:is>
          <x:t xml:space="preserve">Hair Treatment</x:t>
        </x:is>
      </x:c>
      <x:c r="I338" t="inlineStr">
        <x:is>
          <x:t xml:space="preserve">Emma</x:t>
        </x:is>
      </x:c>
      <x:c r="J338" t="n">
        <x:v>98</x:v>
      </x:c>
      <x:c r="K338" t="n">
        <x:v>26.27</x:v>
      </x:c>
      <x:c r="L338" t="n">
        <x:v>90.38</x:v>
      </x:c>
      <x:c r="M338" t="n">
        <x:v>0</x:v>
      </x:c>
      <x:c r="N338" t="n">
        <x:v>8857.24</x:v>
      </x:c>
      <x:c r="O338" t="n">
        <x:v>2574.46</x:v>
      </x:c>
      <x:c r="P338" t="n">
        <x:v>6282.78</x:v>
      </x:c>
      <x:c r="Q338" t="n">
        <x:v>70.93000000000001</x:v>
      </x:c>
      <x:c r="R338" t="inlineStr">
        <x:is>
          <x:t xml:space="preserve">Apple Pay</x:t>
        </x:is>
      </x:c>
      <x:c r="S338" t="inlineStr">
        <x:is>
          <x:t xml:space="preserve">New</x:t>
        </x:is>
      </x:c>
    </x:row>
    <x:row r="339">
      <x:c r="A339" t="inlineStr">
        <x:is>
          <x:t xml:space="preserve">T100339</x:t>
        </x:is>
      </x:c>
      <x:c r="B339" s="10" t="n">
        <x:v>45505</x:v>
      </x:c>
      <x:c r="C339" t="inlineStr">
        <x:is>
          <x:t xml:space="preserve">S003</x:t>
        </x:is>
      </x:c>
      <x:c r="D339" t="inlineStr">
        <x:is>
          <x:t xml:space="preserve">Coral Gables</x:t>
        </x:is>
      </x:c>
      <x:c r="E339" t="inlineStr">
        <x:is>
          <x:t xml:space="preserve">Gabriel Samra</x:t>
        </x:is>
      </x:c>
      <x:c r="F339" t="inlineStr">
        <x:is>
          <x:t xml:space="preserve">GS001</x:t>
        </x:is>
      </x:c>
      <x:c r="G339" t="inlineStr">
        <x:is>
          <x:t xml:space="preserve">Keratin Treatment</x:t>
        </x:is>
      </x:c>
      <x:c r="H339" t="inlineStr">
        <x:is>
          <x:t xml:space="preserve">Hair Treatment</x:t>
        </x:is>
      </x:c>
      <x:c r="I339" t="inlineStr">
        <x:is>
          <x:t xml:space="preserve">Daniel</x:t>
        </x:is>
      </x:c>
      <x:c r="J339" t="n">
        <x:v>102</x:v>
      </x:c>
      <x:c r="K339" t="n">
        <x:v>33.27</x:v>
      </x:c>
      <x:c r="L339" t="n">
        <x:v>68.81999999999999</x:v>
      </x:c>
      <x:c r="M339" t="n">
        <x:v>10</x:v>
      </x:c>
      <x:c r="N339" t="n">
        <x:v>7019.64</x:v>
      </x:c>
      <x:c r="O339" t="n">
        <x:v>3393.54</x:v>
      </x:c>
      <x:c r="P339" t="n">
        <x:v>3626.1</x:v>
      </x:c>
      <x:c r="Q339" t="n">
        <x:v>51.66</x:v>
      </x:c>
      <x:c r="R339" t="inlineStr">
        <x:is>
          <x:t xml:space="preserve">Apple Pay</x:t>
        </x:is>
      </x:c>
      <x:c r="S339" t="inlineStr">
        <x:is>
          <x:t xml:space="preserve">New</x:t>
        </x:is>
      </x:c>
    </x:row>
    <x:row r="340">
      <x:c r="A340" t="inlineStr">
        <x:is>
          <x:t xml:space="preserve">T100340</x:t>
        </x:is>
      </x:c>
      <x:c r="B340" s="10" t="n">
        <x:v>45536</x:v>
      </x:c>
      <x:c r="C340" t="inlineStr">
        <x:is>
          <x:t xml:space="preserve">S003</x:t>
        </x:is>
      </x:c>
      <x:c r="D340" t="inlineStr">
        <x:is>
          <x:t xml:space="preserve">Coral Gables</x:t>
        </x:is>
      </x:c>
      <x:c r="E340" t="inlineStr">
        <x:is>
          <x:t xml:space="preserve">Gabriel Samra</x:t>
        </x:is>
      </x:c>
      <x:c r="F340" t="inlineStr">
        <x:is>
          <x:t xml:space="preserve">GS001</x:t>
        </x:is>
      </x:c>
      <x:c r="G340" t="inlineStr">
        <x:is>
          <x:t xml:space="preserve">Keratin Treatment</x:t>
        </x:is>
      </x:c>
      <x:c r="H340" t="inlineStr">
        <x:is>
          <x:t xml:space="preserve">Hair Treatment</x:t>
        </x:is>
      </x:c>
      <x:c r="I340" t="inlineStr">
        <x:is>
          <x:t xml:space="preserve">Sophia</x:t>
        </x:is>
      </x:c>
      <x:c r="J340" t="n">
        <x:v>223</x:v>
      </x:c>
      <x:c r="K340" t="n">
        <x:v>17.16</x:v>
      </x:c>
      <x:c r="L340" t="n">
        <x:v>45.51</x:v>
      </x:c>
      <x:c r="M340" t="n">
        <x:v>0</x:v>
      </x:c>
      <x:c r="N340" t="n">
        <x:v>10148.73</x:v>
      </x:c>
      <x:c r="O340" t="n">
        <x:v>3826.68</x:v>
      </x:c>
      <x:c r="P340" t="n">
        <x:v>6322.05</x:v>
      </x:c>
      <x:c r="Q340" t="n">
        <x:v>62.29</x:v>
      </x:c>
      <x:c r="R340" t="inlineStr">
        <x:is>
          <x:t xml:space="preserve">Apple Pay</x:t>
        </x:is>
      </x:c>
      <x:c r="S340" t="inlineStr">
        <x:is>
          <x:t xml:space="preserve">New</x:t>
        </x:is>
      </x:c>
    </x:row>
    <x:row r="341">
      <x:c r="A341" t="inlineStr">
        <x:is>
          <x:t xml:space="preserve">T100341</x:t>
        </x:is>
      </x:c>
      <x:c r="B341" s="10" t="n">
        <x:v>45566</x:v>
      </x:c>
      <x:c r="C341" t="inlineStr">
        <x:is>
          <x:t xml:space="preserve">S003</x:t>
        </x:is>
      </x:c>
      <x:c r="D341" t="inlineStr">
        <x:is>
          <x:t xml:space="preserve">Coral Gables</x:t>
        </x:is>
      </x:c>
      <x:c r="E341" t="inlineStr">
        <x:is>
          <x:t xml:space="preserve">Gabriel Samra</x:t>
        </x:is>
      </x:c>
      <x:c r="F341" t="inlineStr">
        <x:is>
          <x:t xml:space="preserve">GS001</x:t>
        </x:is>
      </x:c>
      <x:c r="G341" t="inlineStr">
        <x:is>
          <x:t xml:space="preserve">Keratin Treatment</x:t>
        </x:is>
      </x:c>
      <x:c r="H341" t="inlineStr">
        <x:is>
          <x:t xml:space="preserve">Hair Treatment</x:t>
        </x:is>
      </x:c>
      <x:c r="I341" t="inlineStr">
        <x:is>
          <x:t xml:space="preserve">Daniel</x:t>
        </x:is>
      </x:c>
      <x:c r="J341" t="n">
        <x:v>90</x:v>
      </x:c>
      <x:c r="K341" t="n">
        <x:v>22.4</x:v>
      </x:c>
      <x:c r="L341" t="n">
        <x:v>60.52</x:v>
      </x:c>
      <x:c r="M341" t="n">
        <x:v>0</x:v>
      </x:c>
      <x:c r="N341" t="n">
        <x:v>5446.8</x:v>
      </x:c>
      <x:c r="O341" t="n">
        <x:v>2016</x:v>
      </x:c>
      <x:c r="P341" t="n">
        <x:v>3430.8</x:v>
      </x:c>
      <x:c r="Q341" t="n">
        <x:v>62.99</x:v>
      </x:c>
      <x:c r="R341" t="inlineStr">
        <x:is>
          <x:t xml:space="preserve">Cash</x:t>
        </x:is>
      </x:c>
      <x:c r="S341" t="inlineStr">
        <x:is>
          <x:t xml:space="preserve">Returning</x:t>
        </x:is>
      </x:c>
    </x:row>
    <x:row r="342">
      <x:c r="A342" t="inlineStr">
        <x:is>
          <x:t xml:space="preserve">T100342</x:t>
        </x:is>
      </x:c>
      <x:c r="B342" s="10" t="n">
        <x:v>45597</x:v>
      </x:c>
      <x:c r="C342" t="inlineStr">
        <x:is>
          <x:t xml:space="preserve">S003</x:t>
        </x:is>
      </x:c>
      <x:c r="D342" t="inlineStr">
        <x:is>
          <x:t xml:space="preserve">Coral Gables</x:t>
        </x:is>
      </x:c>
      <x:c r="E342" t="inlineStr">
        <x:is>
          <x:t xml:space="preserve">Gabriel Samra</x:t>
        </x:is>
      </x:c>
      <x:c r="F342" t="inlineStr">
        <x:is>
          <x:t xml:space="preserve">GS001</x:t>
        </x:is>
      </x:c>
      <x:c r="G342" t="inlineStr">
        <x:is>
          <x:t xml:space="preserve">Keratin Treatment</x:t>
        </x:is>
      </x:c>
      <x:c r="H342" t="inlineStr">
        <x:is>
          <x:t xml:space="preserve">Hair Treatment</x:t>
        </x:is>
      </x:c>
      <x:c r="I342" t="inlineStr">
        <x:is>
          <x:t xml:space="preserve">Daniel</x:t>
        </x:is>
      </x:c>
      <x:c r="J342" t="n">
        <x:v>137</x:v>
      </x:c>
      <x:c r="K342" t="n">
        <x:v>28.62</x:v>
      </x:c>
      <x:c r="L342" t="n">
        <x:v>69.84999999999999</x:v>
      </x:c>
      <x:c r="M342" t="n">
        <x:v>0</x:v>
      </x:c>
      <x:c r="N342" t="n">
        <x:v>9569.450000000001</x:v>
      </x:c>
      <x:c r="O342" t="n">
        <x:v>3920.94</x:v>
      </x:c>
      <x:c r="P342" t="n">
        <x:v>5648.51</x:v>
      </x:c>
      <x:c r="Q342" t="n">
        <x:v>59.03</x:v>
      </x:c>
      <x:c r="R342" t="inlineStr">
        <x:is>
          <x:t xml:space="preserve">Cash</x:t>
        </x:is>
      </x:c>
      <x:c r="S342" t="inlineStr">
        <x:is>
          <x:t xml:space="preserve">New</x:t>
        </x:is>
      </x:c>
    </x:row>
    <x:row r="343">
      <x:c r="A343" t="inlineStr">
        <x:is>
          <x:t xml:space="preserve">T100343</x:t>
        </x:is>
      </x:c>
      <x:c r="B343" s="10" t="n">
        <x:v>45627</x:v>
      </x:c>
      <x:c r="C343" t="inlineStr">
        <x:is>
          <x:t xml:space="preserve">S003</x:t>
        </x:is>
      </x:c>
      <x:c r="D343" t="inlineStr">
        <x:is>
          <x:t xml:space="preserve">Coral Gables</x:t>
        </x:is>
      </x:c>
      <x:c r="E343" t="inlineStr">
        <x:is>
          <x:t xml:space="preserve">Gabriel Samra</x:t>
        </x:is>
      </x:c>
      <x:c r="F343" t="inlineStr">
        <x:is>
          <x:t xml:space="preserve">GS001</x:t>
        </x:is>
      </x:c>
      <x:c r="G343" t="inlineStr">
        <x:is>
          <x:t xml:space="preserve">Keratin Treatment</x:t>
        </x:is>
      </x:c>
      <x:c r="H343" t="inlineStr">
        <x:is>
          <x:t xml:space="preserve">Hair Treatment</x:t>
        </x:is>
      </x:c>
      <x:c r="I343" t="inlineStr">
        <x:is>
          <x:t xml:space="preserve">Emma</x:t>
        </x:is>
      </x:c>
      <x:c r="J343" t="n">
        <x:v>136</x:v>
      </x:c>
      <x:c r="K343" t="n">
        <x:v>22.3</x:v>
      </x:c>
      <x:c r="L343" t="n">
        <x:v>51.92</x:v>
      </x:c>
      <x:c r="M343" t="n">
        <x:v>0</x:v>
      </x:c>
      <x:c r="N343" t="n">
        <x:v>7061.12</x:v>
      </x:c>
      <x:c r="O343" t="n">
        <x:v>3032.8</x:v>
      </x:c>
      <x:c r="P343" t="n">
        <x:v>4028.32</x:v>
      </x:c>
      <x:c r="Q343" t="n">
        <x:v>57.05</x:v>
      </x:c>
      <x:c r="R343" t="inlineStr">
        <x:is>
          <x:t xml:space="preserve">Credit Card</x:t>
        </x:is>
      </x:c>
      <x:c r="S343" t="inlineStr">
        <x:is>
          <x:t xml:space="preserve">Returning</x:t>
        </x:is>
      </x:c>
    </x:row>
    <x:row r="344">
      <x:c r="A344" t="inlineStr">
        <x:is>
          <x:t xml:space="preserve">T100344</x:t>
        </x:is>
      </x:c>
      <x:c r="B344" s="10" t="n">
        <x:v>45658</x:v>
      </x:c>
      <x:c r="C344" t="inlineStr">
        <x:is>
          <x:t xml:space="preserve">S003</x:t>
        </x:is>
      </x:c>
      <x:c r="D344" t="inlineStr">
        <x:is>
          <x:t xml:space="preserve">Coral Gables</x:t>
        </x:is>
      </x:c>
      <x:c r="E344" t="inlineStr">
        <x:is>
          <x:t xml:space="preserve">Gabriel Samra</x:t>
        </x:is>
      </x:c>
      <x:c r="F344" t="inlineStr">
        <x:is>
          <x:t xml:space="preserve">GS001</x:t>
        </x:is>
      </x:c>
      <x:c r="G344" t="inlineStr">
        <x:is>
          <x:t xml:space="preserve">Keratin Treatment</x:t>
        </x:is>
      </x:c>
      <x:c r="H344" t="inlineStr">
        <x:is>
          <x:t xml:space="preserve">Hair Treatment</x:t>
        </x:is>
      </x:c>
      <x:c r="I344" t="inlineStr">
        <x:is>
          <x:t xml:space="preserve">Emma</x:t>
        </x:is>
      </x:c>
      <x:c r="J344" t="n">
        <x:v>118</x:v>
      </x:c>
      <x:c r="K344" t="n">
        <x:v>24.3</x:v>
      </x:c>
      <x:c r="L344" t="n">
        <x:v>55.4</x:v>
      </x:c>
      <x:c r="M344" t="n">
        <x:v>5</x:v>
      </x:c>
      <x:c r="N344" t="n">
        <x:v>6537.2</x:v>
      </x:c>
      <x:c r="O344" t="n">
        <x:v>2867.4</x:v>
      </x:c>
      <x:c r="P344" t="n">
        <x:v>3669.8</x:v>
      </x:c>
      <x:c r="Q344" t="n">
        <x:v>56.14</x:v>
      </x:c>
      <x:c r="R344" t="inlineStr">
        <x:is>
          <x:t xml:space="preserve">Cash</x:t>
        </x:is>
      </x:c>
      <x:c r="S344" t="inlineStr">
        <x:is>
          <x:t xml:space="preserve">Returning</x:t>
        </x:is>
      </x:c>
    </x:row>
    <x:row r="345">
      <x:c r="A345" t="inlineStr">
        <x:is>
          <x:t xml:space="preserve">T100345</x:t>
        </x:is>
      </x:c>
      <x:c r="B345" s="10" t="n">
        <x:v>45689</x:v>
      </x:c>
      <x:c r="C345" t="inlineStr">
        <x:is>
          <x:t xml:space="preserve">S003</x:t>
        </x:is>
      </x:c>
      <x:c r="D345" t="inlineStr">
        <x:is>
          <x:t xml:space="preserve">Coral Gables</x:t>
        </x:is>
      </x:c>
      <x:c r="E345" t="inlineStr">
        <x:is>
          <x:t xml:space="preserve">Gabriel Samra</x:t>
        </x:is>
      </x:c>
      <x:c r="F345" t="inlineStr">
        <x:is>
          <x:t xml:space="preserve">GS001</x:t>
        </x:is>
      </x:c>
      <x:c r="G345" t="inlineStr">
        <x:is>
          <x:t xml:space="preserve">Keratin Treatment</x:t>
        </x:is>
      </x:c>
      <x:c r="H345" t="inlineStr">
        <x:is>
          <x:t xml:space="preserve">Hair Treatment</x:t>
        </x:is>
      </x:c>
      <x:c r="I345" t="inlineStr">
        <x:is>
          <x:t xml:space="preserve">Olivia</x:t>
        </x:is>
      </x:c>
      <x:c r="J345" t="n">
        <x:v>121</x:v>
      </x:c>
      <x:c r="K345" t="n">
        <x:v>15.16</x:v>
      </x:c>
      <x:c r="L345" t="n">
        <x:v>37.05</x:v>
      </x:c>
      <x:c r="M345" t="n">
        <x:v>10</x:v>
      </x:c>
      <x:c r="N345" t="n">
        <x:v>4483.05</x:v>
      </x:c>
      <x:c r="O345" t="n">
        <x:v>1834.36</x:v>
      </x:c>
      <x:c r="P345" t="n">
        <x:v>2648.69</x:v>
      </x:c>
      <x:c r="Q345" t="n">
        <x:v>59.08</x:v>
      </x:c>
      <x:c r="R345" t="inlineStr">
        <x:is>
          <x:t xml:space="preserve">Cash</x:t>
        </x:is>
      </x:c>
      <x:c r="S345" t="inlineStr">
        <x:is>
          <x:t xml:space="preserve">Returning</x:t>
        </x:is>
      </x:c>
    </x:row>
    <x:row r="346">
      <x:c r="A346" t="inlineStr">
        <x:is>
          <x:t xml:space="preserve">T100346</x:t>
        </x:is>
      </x:c>
      <x:c r="B346" s="10" t="n">
        <x:v>45717</x:v>
      </x:c>
      <x:c r="C346" t="inlineStr">
        <x:is>
          <x:t xml:space="preserve">S003</x:t>
        </x:is>
      </x:c>
      <x:c r="D346" t="inlineStr">
        <x:is>
          <x:t xml:space="preserve">Coral Gables</x:t>
        </x:is>
      </x:c>
      <x:c r="E346" t="inlineStr">
        <x:is>
          <x:t xml:space="preserve">Gabriel Samra</x:t>
        </x:is>
      </x:c>
      <x:c r="F346" t="inlineStr">
        <x:is>
          <x:t xml:space="preserve">GS001</x:t>
        </x:is>
      </x:c>
      <x:c r="G346" t="inlineStr">
        <x:is>
          <x:t xml:space="preserve">Keratin Treatment</x:t>
        </x:is>
      </x:c>
      <x:c r="H346" t="inlineStr">
        <x:is>
          <x:t xml:space="preserve">Hair Treatment</x:t>
        </x:is>
      </x:c>
      <x:c r="I346" t="inlineStr">
        <x:is>
          <x:t xml:space="preserve">Olivia</x:t>
        </x:is>
      </x:c>
      <x:c r="J346" t="n">
        <x:v>294</x:v>
      </x:c>
      <x:c r="K346" t="n">
        <x:v>20.22</x:v>
      </x:c>
      <x:c r="L346" t="n">
        <x:v>54.09</x:v>
      </x:c>
      <x:c r="M346" t="n">
        <x:v>10</x:v>
      </x:c>
      <x:c r="N346" t="n">
        <x:v>15902.46</x:v>
      </x:c>
      <x:c r="O346" t="n">
        <x:v>5944.68</x:v>
      </x:c>
      <x:c r="P346" t="n">
        <x:v>9957.780000000001</x:v>
      </x:c>
      <x:c r="Q346" t="n">
        <x:v>62.62</x:v>
      </x:c>
      <x:c r="R346" t="inlineStr">
        <x:is>
          <x:t xml:space="preserve">Credit Card</x:t>
        </x:is>
      </x:c>
      <x:c r="S346" t="inlineStr">
        <x:is>
          <x:t xml:space="preserve">Returning</x:t>
        </x:is>
      </x:c>
    </x:row>
    <x:row r="347">
      <x:c r="A347" t="inlineStr">
        <x:is>
          <x:t xml:space="preserve">T100347</x:t>
        </x:is>
      </x:c>
      <x:c r="B347" s="10" t="n">
        <x:v>45748</x:v>
      </x:c>
      <x:c r="C347" t="inlineStr">
        <x:is>
          <x:t xml:space="preserve">S003</x:t>
        </x:is>
      </x:c>
      <x:c r="D347" t="inlineStr">
        <x:is>
          <x:t xml:space="preserve">Coral Gables</x:t>
        </x:is>
      </x:c>
      <x:c r="E347" t="inlineStr">
        <x:is>
          <x:t xml:space="preserve">Gabriel Samra</x:t>
        </x:is>
      </x:c>
      <x:c r="F347" t="inlineStr">
        <x:is>
          <x:t xml:space="preserve">GS001</x:t>
        </x:is>
      </x:c>
      <x:c r="G347" t="inlineStr">
        <x:is>
          <x:t xml:space="preserve">Keratin Treatment</x:t>
        </x:is>
      </x:c>
      <x:c r="H347" t="inlineStr">
        <x:is>
          <x:t xml:space="preserve">Hair Treatment</x:t>
        </x:is>
      </x:c>
      <x:c r="I347" t="inlineStr">
        <x:is>
          <x:t xml:space="preserve">Olivia</x:t>
        </x:is>
      </x:c>
      <x:c r="J347" t="n">
        <x:v>164</x:v>
      </x:c>
      <x:c r="K347" t="n">
        <x:v>19.91</x:v>
      </x:c>
      <x:c r="L347" t="n">
        <x:v>52.58</x:v>
      </x:c>
      <x:c r="M347" t="n">
        <x:v>10</x:v>
      </x:c>
      <x:c r="N347" t="n">
        <x:v>8623.120000000001</x:v>
      </x:c>
      <x:c r="O347" t="n">
        <x:v>3265.24</x:v>
      </x:c>
      <x:c r="P347" t="n">
        <x:v>5357.88</x:v>
      </x:c>
      <x:c r="Q347" t="n">
        <x:v>62.13</x:v>
      </x:c>
      <x:c r="R347" t="inlineStr">
        <x:is>
          <x:t xml:space="preserve">Cash</x:t>
        </x:is>
      </x:c>
      <x:c r="S347" t="inlineStr">
        <x:is>
          <x:t xml:space="preserve">Returning</x:t>
        </x:is>
      </x:c>
    </x:row>
    <x:row r="348">
      <x:c r="A348" t="inlineStr">
        <x:is>
          <x:t xml:space="preserve">T100348</x:t>
        </x:is>
      </x:c>
      <x:c r="B348" s="10" t="n">
        <x:v>45778</x:v>
      </x:c>
      <x:c r="C348" t="inlineStr">
        <x:is>
          <x:t xml:space="preserve">S003</x:t>
        </x:is>
      </x:c>
      <x:c r="D348" t="inlineStr">
        <x:is>
          <x:t xml:space="preserve">Coral Gables</x:t>
        </x:is>
      </x:c>
      <x:c r="E348" t="inlineStr">
        <x:is>
          <x:t xml:space="preserve">Gabriel Samra</x:t>
        </x:is>
      </x:c>
      <x:c r="F348" t="inlineStr">
        <x:is>
          <x:t xml:space="preserve">GS001</x:t>
        </x:is>
      </x:c>
      <x:c r="G348" t="inlineStr">
        <x:is>
          <x:t xml:space="preserve">Keratin Treatment</x:t>
        </x:is>
      </x:c>
      <x:c r="H348" t="inlineStr">
        <x:is>
          <x:t xml:space="preserve">Hair Treatment</x:t>
        </x:is>
      </x:c>
      <x:c r="I348" t="inlineStr">
        <x:is>
          <x:t xml:space="preserve">Daniel</x:t>
        </x:is>
      </x:c>
      <x:c r="J348" t="n">
        <x:v>136</x:v>
      </x:c>
      <x:c r="K348" t="n">
        <x:v>27.49</x:v>
      </x:c>
      <x:c r="L348" t="n">
        <x:v>61.3</x:v>
      </x:c>
      <x:c r="M348" t="n">
        <x:v>0</x:v>
      </x:c>
      <x:c r="N348" t="n">
        <x:v>8336.799999999999</x:v>
      </x:c>
      <x:c r="O348" t="n">
        <x:v>3738.64</x:v>
      </x:c>
      <x:c r="P348" t="n">
        <x:v>4598.16</x:v>
      </x:c>
      <x:c r="Q348" t="n">
        <x:v>55.15</x:v>
      </x:c>
      <x:c r="R348" t="inlineStr">
        <x:is>
          <x:t xml:space="preserve">Apple Pay</x:t>
        </x:is>
      </x:c>
      <x:c r="S348" t="inlineStr">
        <x:is>
          <x:t xml:space="preserve">New</x:t>
        </x:is>
      </x:c>
    </x:row>
    <x:row r="349">
      <x:c r="A349" t="inlineStr">
        <x:is>
          <x:t xml:space="preserve">T100349</x:t>
        </x:is>
      </x:c>
      <x:c r="B349" s="10" t="n">
        <x:v>45809</x:v>
      </x:c>
      <x:c r="C349" t="inlineStr">
        <x:is>
          <x:t xml:space="preserve">S003</x:t>
        </x:is>
      </x:c>
      <x:c r="D349" t="inlineStr">
        <x:is>
          <x:t xml:space="preserve">Coral Gables</x:t>
        </x:is>
      </x:c>
      <x:c r="E349" t="inlineStr">
        <x:is>
          <x:t xml:space="preserve">Gabriel Samra</x:t>
        </x:is>
      </x:c>
      <x:c r="F349" t="inlineStr">
        <x:is>
          <x:t xml:space="preserve">GS001</x:t>
        </x:is>
      </x:c>
      <x:c r="G349" t="inlineStr">
        <x:is>
          <x:t xml:space="preserve">Keratin Treatment</x:t>
        </x:is>
      </x:c>
      <x:c r="H349" t="inlineStr">
        <x:is>
          <x:t xml:space="preserve">Hair Treatment</x:t>
        </x:is>
      </x:c>
      <x:c r="I349" t="inlineStr">
        <x:is>
          <x:t xml:space="preserve">Olivia</x:t>
        </x:is>
      </x:c>
      <x:c r="J349" t="n">
        <x:v>163</x:v>
      </x:c>
      <x:c r="K349" t="n">
        <x:v>30.9</x:v>
      </x:c>
      <x:c r="L349" t="n">
        <x:v>62.48</x:v>
      </x:c>
      <x:c r="M349" t="n">
        <x:v>0</x:v>
      </x:c>
      <x:c r="N349" t="n">
        <x:v>10184.24</x:v>
      </x:c>
      <x:c r="O349" t="n">
        <x:v>5036.7</x:v>
      </x:c>
      <x:c r="P349" t="n">
        <x:v>5147.54</x:v>
      </x:c>
      <x:c r="Q349" t="n">
        <x:v>50.54</x:v>
      </x:c>
      <x:c r="R349" t="inlineStr">
        <x:is>
          <x:t xml:space="preserve">Cash</x:t>
        </x:is>
      </x:c>
      <x:c r="S349" t="inlineStr">
        <x:is>
          <x:t xml:space="preserve">New</x:t>
        </x:is>
      </x:c>
    </x:row>
    <x:row r="350">
      <x:c r="A350" t="inlineStr">
        <x:is>
          <x:t xml:space="preserve">T100350</x:t>
        </x:is>
      </x:c>
      <x:c r="B350" s="10" t="n">
        <x:v>45292</x:v>
      </x:c>
      <x:c r="C350" t="inlineStr">
        <x:is>
          <x:t xml:space="preserve">S003</x:t>
        </x:is>
      </x:c>
      <x:c r="D350" t="inlineStr">
        <x:is>
          <x:t xml:space="preserve">Coral Gables</x:t>
        </x:is>
      </x:c>
      <x:c r="E350" t="inlineStr">
        <x:is>
          <x:t xml:space="preserve">Gabriel Samra</x:t>
        </x:is>
      </x:c>
      <x:c r="F350" t="inlineStr">
        <x:is>
          <x:t xml:space="preserve">GS002</x:t>
        </x:is>
      </x:c>
      <x:c r="G350" t="inlineStr">
        <x:is>
          <x:t xml:space="preserve">Hydration Shampoo</x:t>
        </x:is>
      </x:c>
      <x:c r="H350" t="inlineStr">
        <x:is>
          <x:t xml:space="preserve">Hair Care</x:t>
        </x:is>
      </x:c>
      <x:c r="I350" t="inlineStr">
        <x:is>
          <x:t xml:space="preserve">Emma</x:t>
        </x:is>
      </x:c>
      <x:c r="J350" t="n">
        <x:v>78</x:v>
      </x:c>
      <x:c r="K350" t="n">
        <x:v>24.88</x:v>
      </x:c>
      <x:c r="L350" t="n">
        <x:v>63.48</x:v>
      </x:c>
      <x:c r="M350" t="n">
        <x:v>0</x:v>
      </x:c>
      <x:c r="N350" t="n">
        <x:v>4951.44</x:v>
      </x:c>
      <x:c r="O350" t="n">
        <x:v>1940.64</x:v>
      </x:c>
      <x:c r="P350" t="n">
        <x:v>3010.8</x:v>
      </x:c>
      <x:c r="Q350" t="n">
        <x:v>60.81</x:v>
      </x:c>
      <x:c r="R350" t="inlineStr">
        <x:is>
          <x:t xml:space="preserve">Cash</x:t>
        </x:is>
      </x:c>
      <x:c r="S350" t="inlineStr">
        <x:is>
          <x:t xml:space="preserve">Returning</x:t>
        </x:is>
      </x:c>
    </x:row>
    <x:row r="351">
      <x:c r="A351" t="inlineStr">
        <x:is>
          <x:t xml:space="preserve">T100351</x:t>
        </x:is>
      </x:c>
      <x:c r="B351" s="10" t="n">
        <x:v>45323</x:v>
      </x:c>
      <x:c r="C351" t="inlineStr">
        <x:is>
          <x:t xml:space="preserve">S003</x:t>
        </x:is>
      </x:c>
      <x:c r="D351" t="inlineStr">
        <x:is>
          <x:t xml:space="preserve">Coral Gables</x:t>
        </x:is>
      </x:c>
      <x:c r="E351" t="inlineStr">
        <x:is>
          <x:t xml:space="preserve">Gabriel Samra</x:t>
        </x:is>
      </x:c>
      <x:c r="F351" t="inlineStr">
        <x:is>
          <x:t xml:space="preserve">GS002</x:t>
        </x:is>
      </x:c>
      <x:c r="G351" t="inlineStr">
        <x:is>
          <x:t xml:space="preserve">Hydration Shampoo</x:t>
        </x:is>
      </x:c>
      <x:c r="H351" t="inlineStr">
        <x:is>
          <x:t xml:space="preserve">Hair Care</x:t>
        </x:is>
      </x:c>
      <x:c r="I351" t="inlineStr">
        <x:is>
          <x:t xml:space="preserve">Sophia</x:t>
        </x:is>
      </x:c>
      <x:c r="J351" t="n">
        <x:v>86</x:v>
      </x:c>
      <x:c r="K351" t="n">
        <x:v>25.51</x:v>
      </x:c>
      <x:c r="L351" t="n">
        <x:v>51.44</x:v>
      </x:c>
      <x:c r="M351" t="n">
        <x:v>0</x:v>
      </x:c>
      <x:c r="N351" t="n">
        <x:v>4423.84</x:v>
      </x:c>
      <x:c r="O351" t="n">
        <x:v>2193.86</x:v>
      </x:c>
      <x:c r="P351" t="n">
        <x:v>2229.98</x:v>
      </x:c>
      <x:c r="Q351" t="n">
        <x:v>50.41</x:v>
      </x:c>
      <x:c r="R351" t="inlineStr">
        <x:is>
          <x:t xml:space="preserve">Cash</x:t>
        </x:is>
      </x:c>
      <x:c r="S351" t="inlineStr">
        <x:is>
          <x:t xml:space="preserve">New</x:t>
        </x:is>
      </x:c>
    </x:row>
    <x:row r="352">
      <x:c r="A352" t="inlineStr">
        <x:is>
          <x:t xml:space="preserve">T100352</x:t>
        </x:is>
      </x:c>
      <x:c r="B352" s="10" t="n">
        <x:v>45352</x:v>
      </x:c>
      <x:c r="C352" t="inlineStr">
        <x:is>
          <x:t xml:space="preserve">S003</x:t>
        </x:is>
      </x:c>
      <x:c r="D352" t="inlineStr">
        <x:is>
          <x:t xml:space="preserve">Coral Gables</x:t>
        </x:is>
      </x:c>
      <x:c r="E352" t="inlineStr">
        <x:is>
          <x:t xml:space="preserve">Gabriel Samra</x:t>
        </x:is>
      </x:c>
      <x:c r="F352" t="inlineStr">
        <x:is>
          <x:t xml:space="preserve">GS002</x:t>
        </x:is>
      </x:c>
      <x:c r="G352" t="inlineStr">
        <x:is>
          <x:t xml:space="preserve">Hydration Shampoo</x:t>
        </x:is>
      </x:c>
      <x:c r="H352" t="inlineStr">
        <x:is>
          <x:t xml:space="preserve">Hair Care</x:t>
        </x:is>
      </x:c>
      <x:c r="I352" t="inlineStr">
        <x:is>
          <x:t xml:space="preserve">Emma</x:t>
        </x:is>
      </x:c>
      <x:c r="J352" t="n">
        <x:v>83</x:v>
      </x:c>
      <x:c r="K352" t="n">
        <x:v>22.99</x:v>
      </x:c>
      <x:c r="L352" t="n">
        <x:v>53.77</x:v>
      </x:c>
      <x:c r="M352" t="n">
        <x:v>10</x:v>
      </x:c>
      <x:c r="N352" t="n">
        <x:v>4462.91</x:v>
      </x:c>
      <x:c r="O352" t="n">
        <x:v>1908.17</x:v>
      </x:c>
      <x:c r="P352" t="n">
        <x:v>2554.74</x:v>
      </x:c>
      <x:c r="Q352" t="n">
        <x:v>57.24</x:v>
      </x:c>
      <x:c r="R352" t="inlineStr">
        <x:is>
          <x:t xml:space="preserve">Cash</x:t>
        </x:is>
      </x:c>
      <x:c r="S352" t="inlineStr">
        <x:is>
          <x:t xml:space="preserve">New</x:t>
        </x:is>
      </x:c>
    </x:row>
    <x:row r="353">
      <x:c r="A353" t="inlineStr">
        <x:is>
          <x:t xml:space="preserve">T100353</x:t>
        </x:is>
      </x:c>
      <x:c r="B353" s="10" t="n">
        <x:v>45383</x:v>
      </x:c>
      <x:c r="C353" t="inlineStr">
        <x:is>
          <x:t xml:space="preserve">S003</x:t>
        </x:is>
      </x:c>
      <x:c r="D353" t="inlineStr">
        <x:is>
          <x:t xml:space="preserve">Coral Gables</x:t>
        </x:is>
      </x:c>
      <x:c r="E353" t="inlineStr">
        <x:is>
          <x:t xml:space="preserve">Gabriel Samra</x:t>
        </x:is>
      </x:c>
      <x:c r="F353" t="inlineStr">
        <x:is>
          <x:t xml:space="preserve">GS002</x:t>
        </x:is>
      </x:c>
      <x:c r="G353" t="inlineStr">
        <x:is>
          <x:t xml:space="preserve">Hydration Shampoo</x:t>
        </x:is>
      </x:c>
      <x:c r="H353" t="inlineStr">
        <x:is>
          <x:t xml:space="preserve">Hair Care</x:t>
        </x:is>
      </x:c>
      <x:c r="I353" t="inlineStr">
        <x:is>
          <x:t xml:space="preserve">Emma</x:t>
        </x:is>
      </x:c>
      <x:c r="J353" t="n">
        <x:v>99</x:v>
      </x:c>
      <x:c r="K353" t="n">
        <x:v>31.15</x:v>
      </x:c>
      <x:c r="L353" t="n">
        <x:v>87.36</x:v>
      </x:c>
      <x:c r="M353" t="n">
        <x:v>0</x:v>
      </x:c>
      <x:c r="N353" t="n">
        <x:v>8648.639999999999</x:v>
      </x:c>
      <x:c r="O353" t="n">
        <x:v>3083.85</x:v>
      </x:c>
      <x:c r="P353" t="n">
        <x:v>5564.79</x:v>
      </x:c>
      <x:c r="Q353" t="n">
        <x:v>64.34</x:v>
      </x:c>
      <x:c r="R353" t="inlineStr">
        <x:is>
          <x:t xml:space="preserve">Credit Card</x:t>
        </x:is>
      </x:c>
      <x:c r="S353" t="inlineStr">
        <x:is>
          <x:t xml:space="preserve">New</x:t>
        </x:is>
      </x:c>
    </x:row>
    <x:row r="354">
      <x:c r="A354" t="inlineStr">
        <x:is>
          <x:t xml:space="preserve">T100354</x:t>
        </x:is>
      </x:c>
      <x:c r="B354" s="10" t="n">
        <x:v>45413</x:v>
      </x:c>
      <x:c r="C354" t="inlineStr">
        <x:is>
          <x:t xml:space="preserve">S003</x:t>
        </x:is>
      </x:c>
      <x:c r="D354" t="inlineStr">
        <x:is>
          <x:t xml:space="preserve">Coral Gables</x:t>
        </x:is>
      </x:c>
      <x:c r="E354" t="inlineStr">
        <x:is>
          <x:t xml:space="preserve">Gabriel Samra</x:t>
        </x:is>
      </x:c>
      <x:c r="F354" t="inlineStr">
        <x:is>
          <x:t xml:space="preserve">GS002</x:t>
        </x:is>
      </x:c>
      <x:c r="G354" t="inlineStr">
        <x:is>
          <x:t xml:space="preserve">Hydration Shampoo</x:t>
        </x:is>
      </x:c>
      <x:c r="H354" t="inlineStr">
        <x:is>
          <x:t xml:space="preserve">Hair Care</x:t>
        </x:is>
      </x:c>
      <x:c r="I354" t="inlineStr">
        <x:is>
          <x:t xml:space="preserve">Sophia</x:t>
        </x:is>
      </x:c>
      <x:c r="J354" t="n">
        <x:v>110</x:v>
      </x:c>
      <x:c r="K354" t="n">
        <x:v>25.92</x:v>
      </x:c>
      <x:c r="L354" t="n">
        <x:v>76.06999999999999</x:v>
      </x:c>
      <x:c r="M354" t="n">
        <x:v>0</x:v>
      </x:c>
      <x:c r="N354" t="n">
        <x:v>8367.700000000001</x:v>
      </x:c>
      <x:c r="O354" t="n">
        <x:v>2851.2</x:v>
      </x:c>
      <x:c r="P354" t="n">
        <x:v>5516.5</x:v>
      </x:c>
      <x:c r="Q354" t="n">
        <x:v>65.93000000000001</x:v>
      </x:c>
      <x:c r="R354" t="inlineStr">
        <x:is>
          <x:t xml:space="preserve">Cash</x:t>
        </x:is>
      </x:c>
      <x:c r="S354" t="inlineStr">
        <x:is>
          <x:t xml:space="preserve">Returning</x:t>
        </x:is>
      </x:c>
    </x:row>
    <x:row r="355">
      <x:c r="A355" t="inlineStr">
        <x:is>
          <x:t xml:space="preserve">T100355</x:t>
        </x:is>
      </x:c>
      <x:c r="B355" s="10" t="n">
        <x:v>45444</x:v>
      </x:c>
      <x:c r="C355" t="inlineStr">
        <x:is>
          <x:t xml:space="preserve">S003</x:t>
        </x:is>
      </x:c>
      <x:c r="D355" t="inlineStr">
        <x:is>
          <x:t xml:space="preserve">Coral Gables</x:t>
        </x:is>
      </x:c>
      <x:c r="E355" t="inlineStr">
        <x:is>
          <x:t xml:space="preserve">Gabriel Samra</x:t>
        </x:is>
      </x:c>
      <x:c r="F355" t="inlineStr">
        <x:is>
          <x:t xml:space="preserve">GS002</x:t>
        </x:is>
      </x:c>
      <x:c r="G355" t="inlineStr">
        <x:is>
          <x:t xml:space="preserve">Hydration Shampoo</x:t>
        </x:is>
      </x:c>
      <x:c r="H355" t="inlineStr">
        <x:is>
          <x:t xml:space="preserve">Hair Care</x:t>
        </x:is>
      </x:c>
      <x:c r="I355" t="inlineStr">
        <x:is>
          <x:t xml:space="preserve">Sophia</x:t>
        </x:is>
      </x:c>
      <x:c r="J355" t="n">
        <x:v>115</x:v>
      </x:c>
      <x:c r="K355" t="n">
        <x:v>16.68</x:v>
      </x:c>
      <x:c r="L355" t="n">
        <x:v>55.4</x:v>
      </x:c>
      <x:c r="M355" t="n">
        <x:v>5</x:v>
      </x:c>
      <x:c r="N355" t="n">
        <x:v>6371</x:v>
      </x:c>
      <x:c r="O355" t="n">
        <x:v>1918.2</x:v>
      </x:c>
      <x:c r="P355" t="n">
        <x:v>4452.8</x:v>
      </x:c>
      <x:c r="Q355" t="n">
        <x:v>69.89</x:v>
      </x:c>
      <x:c r="R355" t="inlineStr">
        <x:is>
          <x:t xml:space="preserve">Cash</x:t>
        </x:is>
      </x:c>
      <x:c r="S355" t="inlineStr">
        <x:is>
          <x:t xml:space="preserve">Returning</x:t>
        </x:is>
      </x:c>
    </x:row>
    <x:row r="356">
      <x:c r="A356" t="inlineStr">
        <x:is>
          <x:t xml:space="preserve">T100356</x:t>
        </x:is>
      </x:c>
      <x:c r="B356" s="10" t="n">
        <x:v>45474</x:v>
      </x:c>
      <x:c r="C356" t="inlineStr">
        <x:is>
          <x:t xml:space="preserve">S003</x:t>
        </x:is>
      </x:c>
      <x:c r="D356" t="inlineStr">
        <x:is>
          <x:t xml:space="preserve">Coral Gables</x:t>
        </x:is>
      </x:c>
      <x:c r="E356" t="inlineStr">
        <x:is>
          <x:t xml:space="preserve">Gabriel Samra</x:t>
        </x:is>
      </x:c>
      <x:c r="F356" t="inlineStr">
        <x:is>
          <x:t xml:space="preserve">GS002</x:t>
        </x:is>
      </x:c>
      <x:c r="G356" t="inlineStr">
        <x:is>
          <x:t xml:space="preserve">Hydration Shampoo</x:t>
        </x:is>
      </x:c>
      <x:c r="H356" t="inlineStr">
        <x:is>
          <x:t xml:space="preserve">Hair Care</x:t>
        </x:is>
      </x:c>
      <x:c r="I356" t="inlineStr">
        <x:is>
          <x:t xml:space="preserve">Daniel</x:t>
        </x:is>
      </x:c>
      <x:c r="J356" t="n">
        <x:v>125</x:v>
      </x:c>
      <x:c r="K356" t="n">
        <x:v>18.4</x:v>
      </x:c>
      <x:c r="L356" t="n">
        <x:v>50.59</x:v>
      </x:c>
      <x:c r="M356" t="n">
        <x:v>0</x:v>
      </x:c>
      <x:c r="N356" t="n">
        <x:v>6323.75</x:v>
      </x:c>
      <x:c r="O356" t="n">
        <x:v>2300</x:v>
      </x:c>
      <x:c r="P356" t="n">
        <x:v>4023.75</x:v>
      </x:c>
      <x:c r="Q356" t="n">
        <x:v>63.63</x:v>
      </x:c>
      <x:c r="R356" t="inlineStr">
        <x:is>
          <x:t xml:space="preserve">Cash</x:t>
        </x:is>
      </x:c>
      <x:c r="S356" t="inlineStr">
        <x:is>
          <x:t xml:space="preserve">New</x:t>
        </x:is>
      </x:c>
    </x:row>
    <x:row r="357">
      <x:c r="A357" t="inlineStr">
        <x:is>
          <x:t xml:space="preserve">T100357</x:t>
        </x:is>
      </x:c>
      <x:c r="B357" s="10" t="n">
        <x:v>45505</x:v>
      </x:c>
      <x:c r="C357" t="inlineStr">
        <x:is>
          <x:t xml:space="preserve">S003</x:t>
        </x:is>
      </x:c>
      <x:c r="D357" t="inlineStr">
        <x:is>
          <x:t xml:space="preserve">Coral Gables</x:t>
        </x:is>
      </x:c>
      <x:c r="E357" t="inlineStr">
        <x:is>
          <x:t xml:space="preserve">Gabriel Samra</x:t>
        </x:is>
      </x:c>
      <x:c r="F357" t="inlineStr">
        <x:is>
          <x:t xml:space="preserve">GS002</x:t>
        </x:is>
      </x:c>
      <x:c r="G357" t="inlineStr">
        <x:is>
          <x:t xml:space="preserve">Hydration Shampoo</x:t>
        </x:is>
      </x:c>
      <x:c r="H357" t="inlineStr">
        <x:is>
          <x:t xml:space="preserve">Hair Care</x:t>
        </x:is>
      </x:c>
      <x:c r="I357" t="inlineStr">
        <x:is>
          <x:t xml:space="preserve">Sophia</x:t>
        </x:is>
      </x:c>
      <x:c r="J357" t="n">
        <x:v>134</x:v>
      </x:c>
      <x:c r="K357" t="n">
        <x:v>34.29</x:v>
      </x:c>
      <x:c r="L357" t="n">
        <x:v>116.31</x:v>
      </x:c>
      <x:c r="M357" t="n">
        <x:v>0</x:v>
      </x:c>
      <x:c r="N357" t="n">
        <x:v>15585.54</x:v>
      </x:c>
      <x:c r="O357" t="n">
        <x:v>4594.86</x:v>
      </x:c>
      <x:c r="P357" t="n">
        <x:v>10990.68</x:v>
      </x:c>
      <x:c r="Q357" t="n">
        <x:v>70.52</x:v>
      </x:c>
      <x:c r="R357" t="inlineStr">
        <x:is>
          <x:t xml:space="preserve">Apple Pay</x:t>
        </x:is>
      </x:c>
      <x:c r="S357" t="inlineStr">
        <x:is>
          <x:t xml:space="preserve">Returning</x:t>
        </x:is>
      </x:c>
    </x:row>
    <x:row r="358">
      <x:c r="A358" t="inlineStr">
        <x:is>
          <x:t xml:space="preserve">T100358</x:t>
        </x:is>
      </x:c>
      <x:c r="B358" s="10" t="n">
        <x:v>45536</x:v>
      </x:c>
      <x:c r="C358" t="inlineStr">
        <x:is>
          <x:t xml:space="preserve">S003</x:t>
        </x:is>
      </x:c>
      <x:c r="D358" t="inlineStr">
        <x:is>
          <x:t xml:space="preserve">Coral Gables</x:t>
        </x:is>
      </x:c>
      <x:c r="E358" t="inlineStr">
        <x:is>
          <x:t xml:space="preserve">Gabriel Samra</x:t>
        </x:is>
      </x:c>
      <x:c r="F358" t="inlineStr">
        <x:is>
          <x:t xml:space="preserve">GS002</x:t>
        </x:is>
      </x:c>
      <x:c r="G358" t="inlineStr">
        <x:is>
          <x:t xml:space="preserve">Hydration Shampoo</x:t>
        </x:is>
      </x:c>
      <x:c r="H358" t="inlineStr">
        <x:is>
          <x:t xml:space="preserve">Hair Care</x:t>
        </x:is>
      </x:c>
      <x:c r="I358" t="inlineStr">
        <x:is>
          <x:t xml:space="preserve">Daniel</x:t>
        </x:is>
      </x:c>
      <x:c r="J358" t="n">
        <x:v>127</x:v>
      </x:c>
      <x:c r="K358" t="n">
        <x:v>28.38</x:v>
      </x:c>
      <x:c r="L358" t="n">
        <x:v>93.81</x:v>
      </x:c>
      <x:c r="M358" t="n">
        <x:v>0</x:v>
      </x:c>
      <x:c r="N358" t="n">
        <x:v>11913.87</x:v>
      </x:c>
      <x:c r="O358" t="n">
        <x:v>3604.26</x:v>
      </x:c>
      <x:c r="P358" t="n">
        <x:v>8309.610000000001</x:v>
      </x:c>
      <x:c r="Q358" t="n">
        <x:v>69.75</x:v>
      </x:c>
      <x:c r="R358" t="inlineStr">
        <x:is>
          <x:t xml:space="preserve">Cash</x:t>
        </x:is>
      </x:c>
      <x:c r="S358" t="inlineStr">
        <x:is>
          <x:t xml:space="preserve">New</x:t>
        </x:is>
      </x:c>
    </x:row>
    <x:row r="359">
      <x:c r="A359" t="inlineStr">
        <x:is>
          <x:t xml:space="preserve">T100359</x:t>
        </x:is>
      </x:c>
      <x:c r="B359" s="10" t="n">
        <x:v>45566</x:v>
      </x:c>
      <x:c r="C359" t="inlineStr">
        <x:is>
          <x:t xml:space="preserve">S003</x:t>
        </x:is>
      </x:c>
      <x:c r="D359" t="inlineStr">
        <x:is>
          <x:t xml:space="preserve">Coral Gables</x:t>
        </x:is>
      </x:c>
      <x:c r="E359" t="inlineStr">
        <x:is>
          <x:t xml:space="preserve">Gabriel Samra</x:t>
        </x:is>
      </x:c>
      <x:c r="F359" t="inlineStr">
        <x:is>
          <x:t xml:space="preserve">GS002</x:t>
        </x:is>
      </x:c>
      <x:c r="G359" t="inlineStr">
        <x:is>
          <x:t xml:space="preserve">Hydration Shampoo</x:t>
        </x:is>
      </x:c>
      <x:c r="H359" t="inlineStr">
        <x:is>
          <x:t xml:space="preserve">Hair Care</x:t>
        </x:is>
      </x:c>
      <x:c r="I359" t="inlineStr">
        <x:is>
          <x:t xml:space="preserve">Daniel</x:t>
        </x:is>
      </x:c>
      <x:c r="J359" t="n">
        <x:v>117</x:v>
      </x:c>
      <x:c r="K359" t="n">
        <x:v>19.45</x:v>
      </x:c>
      <x:c r="L359" t="n">
        <x:v>39.34</x:v>
      </x:c>
      <x:c r="M359" t="n">
        <x:v>10</x:v>
      </x:c>
      <x:c r="N359" t="n">
        <x:v>4602.78</x:v>
      </x:c>
      <x:c r="O359" t="n">
        <x:v>2275.65</x:v>
      </x:c>
      <x:c r="P359" t="n">
        <x:v>2327.13</x:v>
      </x:c>
      <x:c r="Q359" t="n">
        <x:v>50.56</x:v>
      </x:c>
      <x:c r="R359" t="inlineStr">
        <x:is>
          <x:t xml:space="preserve">Credit Card</x:t>
        </x:is>
      </x:c>
      <x:c r="S359" t="inlineStr">
        <x:is>
          <x:t xml:space="preserve">New</x:t>
        </x:is>
      </x:c>
    </x:row>
    <x:row r="360">
      <x:c r="A360" t="inlineStr">
        <x:is>
          <x:t xml:space="preserve">T100360</x:t>
        </x:is>
      </x:c>
      <x:c r="B360" s="10" t="n">
        <x:v>45597</x:v>
      </x:c>
      <x:c r="C360" t="inlineStr">
        <x:is>
          <x:t xml:space="preserve">S003</x:t>
        </x:is>
      </x:c>
      <x:c r="D360" t="inlineStr">
        <x:is>
          <x:t xml:space="preserve">Coral Gables</x:t>
        </x:is>
      </x:c>
      <x:c r="E360" t="inlineStr">
        <x:is>
          <x:t xml:space="preserve">Gabriel Samra</x:t>
        </x:is>
      </x:c>
      <x:c r="F360" t="inlineStr">
        <x:is>
          <x:t xml:space="preserve">GS002</x:t>
        </x:is>
      </x:c>
      <x:c r="G360" t="inlineStr">
        <x:is>
          <x:t xml:space="preserve">Hydration Shampoo</x:t>
        </x:is>
      </x:c>
      <x:c r="H360" t="inlineStr">
        <x:is>
          <x:t xml:space="preserve">Hair Care</x:t>
        </x:is>
      </x:c>
      <x:c r="I360" t="inlineStr">
        <x:is>
          <x:t xml:space="preserve">Emma</x:t>
        </x:is>
      </x:c>
      <x:c r="J360" t="n">
        <x:v>161</x:v>
      </x:c>
      <x:c r="K360" t="n">
        <x:v>22.1</x:v>
      </x:c>
      <x:c r="L360" t="n">
        <x:v>77.05</x:v>
      </x:c>
      <x:c r="M360" t="n">
        <x:v>0</x:v>
      </x:c>
      <x:c r="N360" t="n">
        <x:v>12405.05</x:v>
      </x:c>
      <x:c r="O360" t="n">
        <x:v>3558.1</x:v>
      </x:c>
      <x:c r="P360" t="n">
        <x:v>8846.950000000001</x:v>
      </x:c>
      <x:c r="Q360" t="n">
        <x:v>71.31999999999999</x:v>
      </x:c>
      <x:c r="R360" t="inlineStr">
        <x:is>
          <x:t xml:space="preserve">Apple Pay</x:t>
        </x:is>
      </x:c>
      <x:c r="S360" t="inlineStr">
        <x:is>
          <x:t xml:space="preserve">Returning</x:t>
        </x:is>
      </x:c>
    </x:row>
    <x:row r="361">
      <x:c r="A361" t="inlineStr">
        <x:is>
          <x:t xml:space="preserve">T100361</x:t>
        </x:is>
      </x:c>
      <x:c r="B361" s="10" t="n">
        <x:v>45627</x:v>
      </x:c>
      <x:c r="C361" t="inlineStr">
        <x:is>
          <x:t xml:space="preserve">S003</x:t>
        </x:is>
      </x:c>
      <x:c r="D361" t="inlineStr">
        <x:is>
          <x:t xml:space="preserve">Coral Gables</x:t>
        </x:is>
      </x:c>
      <x:c r="E361" t="inlineStr">
        <x:is>
          <x:t xml:space="preserve">Gabriel Samra</x:t>
        </x:is>
      </x:c>
      <x:c r="F361" t="inlineStr">
        <x:is>
          <x:t xml:space="preserve">GS002</x:t>
        </x:is>
      </x:c>
      <x:c r="G361" t="inlineStr">
        <x:is>
          <x:t xml:space="preserve">Hydration Shampoo</x:t>
        </x:is>
      </x:c>
      <x:c r="H361" t="inlineStr">
        <x:is>
          <x:t xml:space="preserve">Hair Care</x:t>
        </x:is>
      </x:c>
      <x:c r="I361" t="inlineStr">
        <x:is>
          <x:t xml:space="preserve">Emma</x:t>
        </x:is>
      </x:c>
      <x:c r="J361" t="n">
        <x:v>182</x:v>
      </x:c>
      <x:c r="K361" t="n">
        <x:v>28.4</x:v>
      </x:c>
      <x:c r="L361" t="n">
        <x:v>93.12</x:v>
      </x:c>
      <x:c r="M361" t="n">
        <x:v>10</x:v>
      </x:c>
      <x:c r="N361" t="n">
        <x:v>16947.84</x:v>
      </x:c>
      <x:c r="O361" t="n">
        <x:v>5168.8</x:v>
      </x:c>
      <x:c r="P361" t="n">
        <x:v>11779.04</x:v>
      </x:c>
      <x:c r="Q361" t="n">
        <x:v>69.5</x:v>
      </x:c>
      <x:c r="R361" t="inlineStr">
        <x:is>
          <x:t xml:space="preserve">Apple Pay</x:t>
        </x:is>
      </x:c>
      <x:c r="S361" t="inlineStr">
        <x:is>
          <x:t xml:space="preserve">New</x:t>
        </x:is>
      </x:c>
    </x:row>
    <x:row r="362">
      <x:c r="A362" t="inlineStr">
        <x:is>
          <x:t xml:space="preserve">T100362</x:t>
        </x:is>
      </x:c>
      <x:c r="B362" s="10" t="n">
        <x:v>45658</x:v>
      </x:c>
      <x:c r="C362" t="inlineStr">
        <x:is>
          <x:t xml:space="preserve">S003</x:t>
        </x:is>
      </x:c>
      <x:c r="D362" t="inlineStr">
        <x:is>
          <x:t xml:space="preserve">Coral Gables</x:t>
        </x:is>
      </x:c>
      <x:c r="E362" t="inlineStr">
        <x:is>
          <x:t xml:space="preserve">Gabriel Samra</x:t>
        </x:is>
      </x:c>
      <x:c r="F362" t="inlineStr">
        <x:is>
          <x:t xml:space="preserve">GS002</x:t>
        </x:is>
      </x:c>
      <x:c r="G362" t="inlineStr">
        <x:is>
          <x:t xml:space="preserve">Hydration Shampoo</x:t>
        </x:is>
      </x:c>
      <x:c r="H362" t="inlineStr">
        <x:is>
          <x:t xml:space="preserve">Hair Care</x:t>
        </x:is>
      </x:c>
      <x:c r="I362" t="inlineStr">
        <x:is>
          <x:t xml:space="preserve">Olivia</x:t>
        </x:is>
      </x:c>
      <x:c r="J362" t="n">
        <x:v>154</x:v>
      </x:c>
      <x:c r="K362" t="n">
        <x:v>29.1</x:v>
      </x:c>
      <x:c r="L362" t="n">
        <x:v>65.69</x:v>
      </x:c>
      <x:c r="M362" t="n">
        <x:v>5</x:v>
      </x:c>
      <x:c r="N362" t="n">
        <x:v>10116.26</x:v>
      </x:c>
      <x:c r="O362" t="n">
        <x:v>4481.4</x:v>
      </x:c>
      <x:c r="P362" t="n">
        <x:v>5634.86</x:v>
      </x:c>
      <x:c r="Q362" t="n">
        <x:v>55.7</x:v>
      </x:c>
      <x:c r="R362" t="inlineStr">
        <x:is>
          <x:t xml:space="preserve">Cash</x:t>
        </x:is>
      </x:c>
      <x:c r="S362" t="inlineStr">
        <x:is>
          <x:t xml:space="preserve">Returning</x:t>
        </x:is>
      </x:c>
    </x:row>
    <x:row r="363">
      <x:c r="A363" t="inlineStr">
        <x:is>
          <x:t xml:space="preserve">T100363</x:t>
        </x:is>
      </x:c>
      <x:c r="B363" s="10" t="n">
        <x:v>45689</x:v>
      </x:c>
      <x:c r="C363" t="inlineStr">
        <x:is>
          <x:t xml:space="preserve">S003</x:t>
        </x:is>
      </x:c>
      <x:c r="D363" t="inlineStr">
        <x:is>
          <x:t xml:space="preserve">Coral Gables</x:t>
        </x:is>
      </x:c>
      <x:c r="E363" t="inlineStr">
        <x:is>
          <x:t xml:space="preserve">Gabriel Samra</x:t>
        </x:is>
      </x:c>
      <x:c r="F363" t="inlineStr">
        <x:is>
          <x:t xml:space="preserve">GS002</x:t>
        </x:is>
      </x:c>
      <x:c r="G363" t="inlineStr">
        <x:is>
          <x:t xml:space="preserve">Hydration Shampoo</x:t>
        </x:is>
      </x:c>
      <x:c r="H363" t="inlineStr">
        <x:is>
          <x:t xml:space="preserve">Hair Care</x:t>
        </x:is>
      </x:c>
      <x:c r="I363" t="inlineStr">
        <x:is>
          <x:t xml:space="preserve">Sophia</x:t>
        </x:is>
      </x:c>
      <x:c r="J363" t="n">
        <x:v>178</x:v>
      </x:c>
      <x:c r="K363" t="n">
        <x:v>22.76</x:v>
      </x:c>
      <x:c r="L363" t="n">
        <x:v>69.09</x:v>
      </x:c>
      <x:c r="M363" t="n">
        <x:v>10</x:v>
      </x:c>
      <x:c r="N363" t="n">
        <x:v>12298.02</x:v>
      </x:c>
      <x:c r="O363" t="n">
        <x:v>4051.28</x:v>
      </x:c>
      <x:c r="P363" t="n">
        <x:v>8246.74</x:v>
      </x:c>
      <x:c r="Q363" t="n">
        <x:v>67.06</x:v>
      </x:c>
      <x:c r="R363" t="inlineStr">
        <x:is>
          <x:t xml:space="preserve">Apple Pay</x:t>
        </x:is>
      </x:c>
      <x:c r="S363" t="inlineStr">
        <x:is>
          <x:t xml:space="preserve">New</x:t>
        </x:is>
      </x:c>
    </x:row>
    <x:row r="364">
      <x:c r="A364" t="inlineStr">
        <x:is>
          <x:t xml:space="preserve">T100364</x:t>
        </x:is>
      </x:c>
      <x:c r="B364" s="10" t="n">
        <x:v>45717</x:v>
      </x:c>
      <x:c r="C364" t="inlineStr">
        <x:is>
          <x:t xml:space="preserve">S003</x:t>
        </x:is>
      </x:c>
      <x:c r="D364" t="inlineStr">
        <x:is>
          <x:t xml:space="preserve">Coral Gables</x:t>
        </x:is>
      </x:c>
      <x:c r="E364" t="inlineStr">
        <x:is>
          <x:t xml:space="preserve">Gabriel Samra</x:t>
        </x:is>
      </x:c>
      <x:c r="F364" t="inlineStr">
        <x:is>
          <x:t xml:space="preserve">GS002</x:t>
        </x:is>
      </x:c>
      <x:c r="G364" t="inlineStr">
        <x:is>
          <x:t xml:space="preserve">Hydration Shampoo</x:t>
        </x:is>
      </x:c>
      <x:c r="H364" t="inlineStr">
        <x:is>
          <x:t xml:space="preserve">Hair Care</x:t>
        </x:is>
      </x:c>
      <x:c r="I364" t="inlineStr">
        <x:is>
          <x:t xml:space="preserve">Emma</x:t>
        </x:is>
      </x:c>
      <x:c r="J364" t="n">
        <x:v>176</x:v>
      </x:c>
      <x:c r="K364" t="n">
        <x:v>16.14</x:v>
      </x:c>
      <x:c r="L364" t="n">
        <x:v>39.36</x:v>
      </x:c>
      <x:c r="M364" t="n">
        <x:v>0</x:v>
      </x:c>
      <x:c r="N364" t="n">
        <x:v>6927.36</x:v>
      </x:c>
      <x:c r="O364" t="n">
        <x:v>2840.64</x:v>
      </x:c>
      <x:c r="P364" t="n">
        <x:v>4086.72</x:v>
      </x:c>
      <x:c r="Q364" t="n">
        <x:v>58.99</x:v>
      </x:c>
      <x:c r="R364" t="inlineStr">
        <x:is>
          <x:t xml:space="preserve">Credit Card</x:t>
        </x:is>
      </x:c>
      <x:c r="S364" t="inlineStr">
        <x:is>
          <x:t xml:space="preserve">New</x:t>
        </x:is>
      </x:c>
    </x:row>
    <x:row r="365">
      <x:c r="A365" t="inlineStr">
        <x:is>
          <x:t xml:space="preserve">T100365</x:t>
        </x:is>
      </x:c>
      <x:c r="B365" s="10" t="n">
        <x:v>45748</x:v>
      </x:c>
      <x:c r="C365" t="inlineStr">
        <x:is>
          <x:t xml:space="preserve">S003</x:t>
        </x:is>
      </x:c>
      <x:c r="D365" t="inlineStr">
        <x:is>
          <x:t xml:space="preserve">Coral Gables</x:t>
        </x:is>
      </x:c>
      <x:c r="E365" t="inlineStr">
        <x:is>
          <x:t xml:space="preserve">Gabriel Samra</x:t>
        </x:is>
      </x:c>
      <x:c r="F365" t="inlineStr">
        <x:is>
          <x:t xml:space="preserve">GS002</x:t>
        </x:is>
      </x:c>
      <x:c r="G365" t="inlineStr">
        <x:is>
          <x:t xml:space="preserve">Hydration Shampoo</x:t>
        </x:is>
      </x:c>
      <x:c r="H365" t="inlineStr">
        <x:is>
          <x:t xml:space="preserve">Hair Care</x:t>
        </x:is>
      </x:c>
      <x:c r="I365" t="inlineStr">
        <x:is>
          <x:t xml:space="preserve">Daniel</x:t>
        </x:is>
      </x:c>
      <x:c r="J365" t="n">
        <x:v>216</x:v>
      </x:c>
      <x:c r="K365" t="n">
        <x:v>29.83</x:v>
      </x:c>
      <x:c r="L365" t="n">
        <x:v>82.12</x:v>
      </x:c>
      <x:c r="M365" t="n">
        <x:v>0</x:v>
      </x:c>
      <x:c r="N365" t="n">
        <x:v>17737.92</x:v>
      </x:c>
      <x:c r="O365" t="n">
        <x:v>6443.28</x:v>
      </x:c>
      <x:c r="P365" t="n">
        <x:v>11294.64</x:v>
      </x:c>
      <x:c r="Q365" t="n">
        <x:v>63.68</x:v>
      </x:c>
      <x:c r="R365" t="inlineStr">
        <x:is>
          <x:t xml:space="preserve">Apple Pay</x:t>
        </x:is>
      </x:c>
      <x:c r="S365" t="inlineStr">
        <x:is>
          <x:t xml:space="preserve">New</x:t>
        </x:is>
      </x:c>
    </x:row>
    <x:row r="366">
      <x:c r="A366" t="inlineStr">
        <x:is>
          <x:t xml:space="preserve">T100366</x:t>
        </x:is>
      </x:c>
      <x:c r="B366" s="10" t="n">
        <x:v>45778</x:v>
      </x:c>
      <x:c r="C366" t="inlineStr">
        <x:is>
          <x:t xml:space="preserve">S003</x:t>
        </x:is>
      </x:c>
      <x:c r="D366" t="inlineStr">
        <x:is>
          <x:t xml:space="preserve">Coral Gables</x:t>
        </x:is>
      </x:c>
      <x:c r="E366" t="inlineStr">
        <x:is>
          <x:t xml:space="preserve">Gabriel Samra</x:t>
        </x:is>
      </x:c>
      <x:c r="F366" t="inlineStr">
        <x:is>
          <x:t xml:space="preserve">GS002</x:t>
        </x:is>
      </x:c>
      <x:c r="G366" t="inlineStr">
        <x:is>
          <x:t xml:space="preserve">Hydration Shampoo</x:t>
        </x:is>
      </x:c>
      <x:c r="H366" t="inlineStr">
        <x:is>
          <x:t xml:space="preserve">Hair Care</x:t>
        </x:is>
      </x:c>
      <x:c r="I366" t="inlineStr">
        <x:is>
          <x:t xml:space="preserve">Daniel</x:t>
        </x:is>
      </x:c>
      <x:c r="J366" t="n">
        <x:v>247</x:v>
      </x:c>
      <x:c r="K366" t="n">
        <x:v>28.27</x:v>
      </x:c>
      <x:c r="L366" t="n">
        <x:v>68.73999999999999</x:v>
      </x:c>
      <x:c r="M366" t="n">
        <x:v>0</x:v>
      </x:c>
      <x:c r="N366" t="n">
        <x:v>16978.78</x:v>
      </x:c>
      <x:c r="O366" t="n">
        <x:v>6982.69</x:v>
      </x:c>
      <x:c r="P366" t="n">
        <x:v>9996.09</x:v>
      </x:c>
      <x:c r="Q366" t="n">
        <x:v>58.87</x:v>
      </x:c>
      <x:c r="R366" t="inlineStr">
        <x:is>
          <x:t xml:space="preserve">Credit Card</x:t>
        </x:is>
      </x:c>
      <x:c r="S366" t="inlineStr">
        <x:is>
          <x:t xml:space="preserve">New</x:t>
        </x:is>
      </x:c>
    </x:row>
    <x:row r="367">
      <x:c r="A367" t="inlineStr">
        <x:is>
          <x:t xml:space="preserve">T100367</x:t>
        </x:is>
      </x:c>
      <x:c r="B367" s="10" t="n">
        <x:v>45809</x:v>
      </x:c>
      <x:c r="C367" t="inlineStr">
        <x:is>
          <x:t xml:space="preserve">S003</x:t>
        </x:is>
      </x:c>
      <x:c r="D367" t="inlineStr">
        <x:is>
          <x:t xml:space="preserve">Coral Gables</x:t>
        </x:is>
      </x:c>
      <x:c r="E367" t="inlineStr">
        <x:is>
          <x:t xml:space="preserve">Gabriel Samra</x:t>
        </x:is>
      </x:c>
      <x:c r="F367" t="inlineStr">
        <x:is>
          <x:t xml:space="preserve">GS002</x:t>
        </x:is>
      </x:c>
      <x:c r="G367" t="inlineStr">
        <x:is>
          <x:t xml:space="preserve">Hydration Shampoo</x:t>
        </x:is>
      </x:c>
      <x:c r="H367" t="inlineStr">
        <x:is>
          <x:t xml:space="preserve">Hair Care</x:t>
        </x:is>
      </x:c>
      <x:c r="I367" t="inlineStr">
        <x:is>
          <x:t xml:space="preserve">Olivia</x:t>
        </x:is>
      </x:c>
      <x:c r="J367" t="n">
        <x:v>245</x:v>
      </x:c>
      <x:c r="K367" t="n">
        <x:v>16.3</x:v>
      </x:c>
      <x:c r="L367" t="n">
        <x:v>42.99</x:v>
      </x:c>
      <x:c r="M367" t="n">
        <x:v>0</x:v>
      </x:c>
      <x:c r="N367" t="n">
        <x:v>10532.55</x:v>
      </x:c>
      <x:c r="O367" t="n">
        <x:v>3993.5</x:v>
      </x:c>
      <x:c r="P367" t="n">
        <x:v>6539.05</x:v>
      </x:c>
      <x:c r="Q367" t="n">
        <x:v>62.08</x:v>
      </x:c>
      <x:c r="R367" t="inlineStr">
        <x:is>
          <x:t xml:space="preserve">Apple Pay</x:t>
        </x:is>
      </x:c>
      <x:c r="S367" t="inlineStr">
        <x:is>
          <x:t xml:space="preserve">New</x:t>
        </x:is>
      </x:c>
    </x:row>
    <x:row r="368">
      <x:c r="A368" t="inlineStr">
        <x:is>
          <x:t xml:space="preserve">T100368</x:t>
        </x:is>
      </x:c>
      <x:c r="B368" s="10" t="n">
        <x:v>45292</x:v>
      </x:c>
      <x:c r="C368" t="inlineStr">
        <x:is>
          <x:t xml:space="preserve">S003</x:t>
        </x:is>
      </x:c>
      <x:c r="D368" t="inlineStr">
        <x:is>
          <x:t xml:space="preserve">Coral Gables</x:t>
        </x:is>
      </x:c>
      <x:c r="E368" t="inlineStr">
        <x:is>
          <x:t xml:space="preserve">Gabriel Samra</x:t>
        </x:is>
      </x:c>
      <x:c r="F368" t="inlineStr">
        <x:is>
          <x:t xml:space="preserve">GS003</x:t>
        </x:is>
      </x:c>
      <x:c r="G368" t="inlineStr">
        <x:is>
          <x:t xml:space="preserve">Repair Mask</x:t>
        </x:is>
      </x:c>
      <x:c r="H368" t="inlineStr">
        <x:is>
          <x:t xml:space="preserve">Hair Care</x:t>
        </x:is>
      </x:c>
      <x:c r="I368" t="inlineStr">
        <x:is>
          <x:t xml:space="preserve">Sophia</x:t>
        </x:is>
      </x:c>
      <x:c r="J368" t="n">
        <x:v>51</x:v>
      </x:c>
      <x:c r="K368" t="n">
        <x:v>20.11</x:v>
      </x:c>
      <x:c r="L368" t="n">
        <x:v>40.71</x:v>
      </x:c>
      <x:c r="M368" t="n">
        <x:v>0</x:v>
      </x:c>
      <x:c r="N368" t="n">
        <x:v>2076.21</x:v>
      </x:c>
      <x:c r="O368" t="n">
        <x:v>1025.61</x:v>
      </x:c>
      <x:c r="P368" t="n">
        <x:v>1050.6</x:v>
      </x:c>
      <x:c r="Q368" t="n">
        <x:v>50.6</x:v>
      </x:c>
      <x:c r="R368" t="inlineStr">
        <x:is>
          <x:t xml:space="preserve">Credit Card</x:t>
        </x:is>
      </x:c>
      <x:c r="S368" t="inlineStr">
        <x:is>
          <x:t xml:space="preserve">Returning</x:t>
        </x:is>
      </x:c>
    </x:row>
    <x:row r="369">
      <x:c r="A369" t="inlineStr">
        <x:is>
          <x:t xml:space="preserve">T100369</x:t>
        </x:is>
      </x:c>
      <x:c r="B369" s="10" t="n">
        <x:v>45323</x:v>
      </x:c>
      <x:c r="C369" t="inlineStr">
        <x:is>
          <x:t xml:space="preserve">S003</x:t>
        </x:is>
      </x:c>
      <x:c r="D369" t="inlineStr">
        <x:is>
          <x:t xml:space="preserve">Coral Gables</x:t>
        </x:is>
      </x:c>
      <x:c r="E369" t="inlineStr">
        <x:is>
          <x:t xml:space="preserve">Gabriel Samra</x:t>
        </x:is>
      </x:c>
      <x:c r="F369" t="inlineStr">
        <x:is>
          <x:t xml:space="preserve">GS003</x:t>
        </x:is>
      </x:c>
      <x:c r="G369" t="inlineStr">
        <x:is>
          <x:t xml:space="preserve">Repair Mask</x:t>
        </x:is>
      </x:c>
      <x:c r="H369" t="inlineStr">
        <x:is>
          <x:t xml:space="preserve">Hair Care</x:t>
        </x:is>
      </x:c>
      <x:c r="I369" t="inlineStr">
        <x:is>
          <x:t xml:space="preserve">Emma</x:t>
        </x:is>
      </x:c>
      <x:c r="J369" t="n">
        <x:v>62</x:v>
      </x:c>
      <x:c r="K369" t="n">
        <x:v>26.44</x:v>
      </x:c>
      <x:c r="L369" t="n">
        <x:v>87.68000000000001</x:v>
      </x:c>
      <x:c r="M369" t="n">
        <x:v>0</x:v>
      </x:c>
      <x:c r="N369" t="n">
        <x:v>5436.16</x:v>
      </x:c>
      <x:c r="O369" t="n">
        <x:v>1639.28</x:v>
      </x:c>
      <x:c r="P369" t="n">
        <x:v>3796.88</x:v>
      </x:c>
      <x:c r="Q369" t="n">
        <x:v>69.84</x:v>
      </x:c>
      <x:c r="R369" t="inlineStr">
        <x:is>
          <x:t xml:space="preserve">Cash</x:t>
        </x:is>
      </x:c>
      <x:c r="S369" t="inlineStr">
        <x:is>
          <x:t xml:space="preserve">New</x:t>
        </x:is>
      </x:c>
    </x:row>
    <x:row r="370">
      <x:c r="A370" t="inlineStr">
        <x:is>
          <x:t xml:space="preserve">T100370</x:t>
        </x:is>
      </x:c>
      <x:c r="B370" s="10" t="n">
        <x:v>45352</x:v>
      </x:c>
      <x:c r="C370" t="inlineStr">
        <x:is>
          <x:t xml:space="preserve">S003</x:t>
        </x:is>
      </x:c>
      <x:c r="D370" t="inlineStr">
        <x:is>
          <x:t xml:space="preserve">Coral Gables</x:t>
        </x:is>
      </x:c>
      <x:c r="E370" t="inlineStr">
        <x:is>
          <x:t xml:space="preserve">Gabriel Samra</x:t>
        </x:is>
      </x:c>
      <x:c r="F370" t="inlineStr">
        <x:is>
          <x:t xml:space="preserve">GS003</x:t>
        </x:is>
      </x:c>
      <x:c r="G370" t="inlineStr">
        <x:is>
          <x:t xml:space="preserve">Repair Mask</x:t>
        </x:is>
      </x:c>
      <x:c r="H370" t="inlineStr">
        <x:is>
          <x:t xml:space="preserve">Hair Care</x:t>
        </x:is>
      </x:c>
      <x:c r="I370" t="inlineStr">
        <x:is>
          <x:t xml:space="preserve">Lucas</x:t>
        </x:is>
      </x:c>
      <x:c r="J370" t="n">
        <x:v>67</x:v>
      </x:c>
      <x:c r="K370" t="n">
        <x:v>32.09</x:v>
      </x:c>
      <x:c r="L370" t="n">
        <x:v>107.9</x:v>
      </x:c>
      <x:c r="M370" t="n">
        <x:v>0</x:v>
      </x:c>
      <x:c r="N370" t="n">
        <x:v>7229.3</x:v>
      </x:c>
      <x:c r="O370" t="n">
        <x:v>2150.03</x:v>
      </x:c>
      <x:c r="P370" t="n">
        <x:v>5079.27</x:v>
      </x:c>
      <x:c r="Q370" t="n">
        <x:v>70.26000000000001</x:v>
      </x:c>
      <x:c r="R370" t="inlineStr">
        <x:is>
          <x:t xml:space="preserve">Cash</x:t>
        </x:is>
      </x:c>
      <x:c r="S370" t="inlineStr">
        <x:is>
          <x:t xml:space="preserve">Returning</x:t>
        </x:is>
      </x:c>
    </x:row>
    <x:row r="371">
      <x:c r="A371" t="inlineStr">
        <x:is>
          <x:t xml:space="preserve">T100371</x:t>
        </x:is>
      </x:c>
      <x:c r="B371" s="10" t="n">
        <x:v>45383</x:v>
      </x:c>
      <x:c r="C371" t="inlineStr">
        <x:is>
          <x:t xml:space="preserve">S003</x:t>
        </x:is>
      </x:c>
      <x:c r="D371" t="inlineStr">
        <x:is>
          <x:t xml:space="preserve">Coral Gables</x:t>
        </x:is>
      </x:c>
      <x:c r="E371" t="inlineStr">
        <x:is>
          <x:t xml:space="preserve">Gabriel Samra</x:t>
        </x:is>
      </x:c>
      <x:c r="F371" t="inlineStr">
        <x:is>
          <x:t xml:space="preserve">GS003</x:t>
        </x:is>
      </x:c>
      <x:c r="G371" t="inlineStr">
        <x:is>
          <x:t xml:space="preserve">Repair Mask</x:t>
        </x:is>
      </x:c>
      <x:c r="H371" t="inlineStr">
        <x:is>
          <x:t xml:space="preserve">Hair Care</x:t>
        </x:is>
      </x:c>
      <x:c r="I371" t="inlineStr">
        <x:is>
          <x:t xml:space="preserve">Sophia</x:t>
        </x:is>
      </x:c>
      <x:c r="J371" t="n">
        <x:v>71</x:v>
      </x:c>
      <x:c r="K371" t="n">
        <x:v>19.63</x:v>
      </x:c>
      <x:c r="L371" t="n">
        <x:v>55.56</x:v>
      </x:c>
      <x:c r="M371" t="n">
        <x:v>0</x:v>
      </x:c>
      <x:c r="N371" t="n">
        <x:v>3944.76</x:v>
      </x:c>
      <x:c r="O371" t="n">
        <x:v>1393.73</x:v>
      </x:c>
      <x:c r="P371" t="n">
        <x:v>2551.03</x:v>
      </x:c>
      <x:c r="Q371" t="n">
        <x:v>64.67</x:v>
      </x:c>
      <x:c r="R371" t="inlineStr">
        <x:is>
          <x:t xml:space="preserve">Credit Card</x:t>
        </x:is>
      </x:c>
      <x:c r="S371" t="inlineStr">
        <x:is>
          <x:t xml:space="preserve">Returning</x:t>
        </x:is>
      </x:c>
    </x:row>
    <x:row r="372">
      <x:c r="A372" t="inlineStr">
        <x:is>
          <x:t xml:space="preserve">T100372</x:t>
        </x:is>
      </x:c>
      <x:c r="B372" s="10" t="n">
        <x:v>45413</x:v>
      </x:c>
      <x:c r="C372" t="inlineStr">
        <x:is>
          <x:t xml:space="preserve">S003</x:t>
        </x:is>
      </x:c>
      <x:c r="D372" t="inlineStr">
        <x:is>
          <x:t xml:space="preserve">Coral Gables</x:t>
        </x:is>
      </x:c>
      <x:c r="E372" t="inlineStr">
        <x:is>
          <x:t xml:space="preserve">Gabriel Samra</x:t>
        </x:is>
      </x:c>
      <x:c r="F372" t="inlineStr">
        <x:is>
          <x:t xml:space="preserve">GS003</x:t>
        </x:is>
      </x:c>
      <x:c r="G372" t="inlineStr">
        <x:is>
          <x:t xml:space="preserve">Repair Mask</x:t>
        </x:is>
      </x:c>
      <x:c r="H372" t="inlineStr">
        <x:is>
          <x:t xml:space="preserve">Hair Care</x:t>
        </x:is>
      </x:c>
      <x:c r="I372" t="inlineStr">
        <x:is>
          <x:t xml:space="preserve">Emma</x:t>
        </x:is>
      </x:c>
      <x:c r="J372" t="n">
        <x:v>63</x:v>
      </x:c>
      <x:c r="K372" t="n">
        <x:v>24.86</x:v>
      </x:c>
      <x:c r="L372" t="n">
        <x:v>65.17</x:v>
      </x:c>
      <x:c r="M372" t="n">
        <x:v>0</x:v>
      </x:c>
      <x:c r="N372" t="n">
        <x:v>4105.71</x:v>
      </x:c>
      <x:c r="O372" t="n">
        <x:v>1566.18</x:v>
      </x:c>
      <x:c r="P372" t="n">
        <x:v>2539.53</x:v>
      </x:c>
      <x:c r="Q372" t="n">
        <x:v>61.85</x:v>
      </x:c>
      <x:c r="R372" t="inlineStr">
        <x:is>
          <x:t xml:space="preserve">Cash</x:t>
        </x:is>
      </x:c>
      <x:c r="S372" t="inlineStr">
        <x:is>
          <x:t xml:space="preserve">Returning</x:t>
        </x:is>
      </x:c>
    </x:row>
    <x:row r="373">
      <x:c r="A373" t="inlineStr">
        <x:is>
          <x:t xml:space="preserve">T100373</x:t>
        </x:is>
      </x:c>
      <x:c r="B373" s="10" t="n">
        <x:v>45444</x:v>
      </x:c>
      <x:c r="C373" t="inlineStr">
        <x:is>
          <x:t xml:space="preserve">S003</x:t>
        </x:is>
      </x:c>
      <x:c r="D373" t="inlineStr">
        <x:is>
          <x:t xml:space="preserve">Coral Gables</x:t>
        </x:is>
      </x:c>
      <x:c r="E373" t="inlineStr">
        <x:is>
          <x:t xml:space="preserve">Gabriel Samra</x:t>
        </x:is>
      </x:c>
      <x:c r="F373" t="inlineStr">
        <x:is>
          <x:t xml:space="preserve">GS003</x:t>
        </x:is>
      </x:c>
      <x:c r="G373" t="inlineStr">
        <x:is>
          <x:t xml:space="preserve">Repair Mask</x:t>
        </x:is>
      </x:c>
      <x:c r="H373" t="inlineStr">
        <x:is>
          <x:t xml:space="preserve">Hair Care</x:t>
        </x:is>
      </x:c>
      <x:c r="I373" t="inlineStr">
        <x:is>
          <x:t xml:space="preserve">Sophia</x:t>
        </x:is>
      </x:c>
      <x:c r="J373" t="n">
        <x:v>65</x:v>
      </x:c>
      <x:c r="K373" t="n">
        <x:v>26.95</x:v>
      </x:c>
      <x:c r="L373" t="n">
        <x:v>76.29000000000001</x:v>
      </x:c>
      <x:c r="M373" t="n">
        <x:v>10</x:v>
      </x:c>
      <x:c r="N373" t="n">
        <x:v>4958.85</x:v>
      </x:c>
      <x:c r="O373" t="n">
        <x:v>1751.75</x:v>
      </x:c>
      <x:c r="P373" t="n">
        <x:v>3207.1</x:v>
      </x:c>
      <x:c r="Q373" t="n">
        <x:v>64.67</x:v>
      </x:c>
      <x:c r="R373" t="inlineStr">
        <x:is>
          <x:t xml:space="preserve">Apple Pay</x:t>
        </x:is>
      </x:c>
      <x:c r="S373" t="inlineStr">
        <x:is>
          <x:t xml:space="preserve">Returning</x:t>
        </x:is>
      </x:c>
    </x:row>
    <x:row r="374">
      <x:c r="A374" t="inlineStr">
        <x:is>
          <x:t xml:space="preserve">T100374</x:t>
        </x:is>
      </x:c>
      <x:c r="B374" s="10" t="n">
        <x:v>45474</x:v>
      </x:c>
      <x:c r="C374" t="inlineStr">
        <x:is>
          <x:t xml:space="preserve">S003</x:t>
        </x:is>
      </x:c>
      <x:c r="D374" t="inlineStr">
        <x:is>
          <x:t xml:space="preserve">Coral Gables</x:t>
        </x:is>
      </x:c>
      <x:c r="E374" t="inlineStr">
        <x:is>
          <x:t xml:space="preserve">Gabriel Samra</x:t>
        </x:is>
      </x:c>
      <x:c r="F374" t="inlineStr">
        <x:is>
          <x:t xml:space="preserve">GS003</x:t>
        </x:is>
      </x:c>
      <x:c r="G374" t="inlineStr">
        <x:is>
          <x:t xml:space="preserve">Repair Mask</x:t>
        </x:is>
      </x:c>
      <x:c r="H374" t="inlineStr">
        <x:is>
          <x:t xml:space="preserve">Hair Care</x:t>
        </x:is>
      </x:c>
      <x:c r="I374" t="inlineStr">
        <x:is>
          <x:t xml:space="preserve">Olivia</x:t>
        </x:is>
      </x:c>
      <x:c r="J374" t="n">
        <x:v>84</x:v>
      </x:c>
      <x:c r="K374" t="n">
        <x:v>34.01</x:v>
      </x:c>
      <x:c r="L374" t="n">
        <x:v>73.69</x:v>
      </x:c>
      <x:c r="M374" t="n">
        <x:v>0</x:v>
      </x:c>
      <x:c r="N374" t="n">
        <x:v>6189.96</x:v>
      </x:c>
      <x:c r="O374" t="n">
        <x:v>2856.84</x:v>
      </x:c>
      <x:c r="P374" t="n">
        <x:v>3333.12</x:v>
      </x:c>
      <x:c r="Q374" t="n">
        <x:v>53.85</x:v>
      </x:c>
      <x:c r="R374" t="inlineStr">
        <x:is>
          <x:t xml:space="preserve">Apple Pay</x:t>
        </x:is>
      </x:c>
      <x:c r="S374" t="inlineStr">
        <x:is>
          <x:t xml:space="preserve">New</x:t>
        </x:is>
      </x:c>
    </x:row>
    <x:row r="375">
      <x:c r="A375" t="inlineStr">
        <x:is>
          <x:t xml:space="preserve">T100375</x:t>
        </x:is>
      </x:c>
      <x:c r="B375" s="10" t="n">
        <x:v>45505</x:v>
      </x:c>
      <x:c r="C375" t="inlineStr">
        <x:is>
          <x:t xml:space="preserve">S003</x:t>
        </x:is>
      </x:c>
      <x:c r="D375" t="inlineStr">
        <x:is>
          <x:t xml:space="preserve">Coral Gables</x:t>
        </x:is>
      </x:c>
      <x:c r="E375" t="inlineStr">
        <x:is>
          <x:t xml:space="preserve">Gabriel Samra</x:t>
        </x:is>
      </x:c>
      <x:c r="F375" t="inlineStr">
        <x:is>
          <x:t xml:space="preserve">GS003</x:t>
        </x:is>
      </x:c>
      <x:c r="G375" t="inlineStr">
        <x:is>
          <x:t xml:space="preserve">Repair Mask</x:t>
        </x:is>
      </x:c>
      <x:c r="H375" t="inlineStr">
        <x:is>
          <x:t xml:space="preserve">Hair Care</x:t>
        </x:is>
      </x:c>
      <x:c r="I375" t="inlineStr">
        <x:is>
          <x:t xml:space="preserve">Daniel</x:t>
        </x:is>
      </x:c>
      <x:c r="J375" t="n">
        <x:v>168</x:v>
      </x:c>
      <x:c r="K375" t="n">
        <x:v>27.15</x:v>
      </x:c>
      <x:c r="L375" t="n">
        <x:v>83.08</x:v>
      </x:c>
      <x:c r="M375" t="n">
        <x:v>10</x:v>
      </x:c>
      <x:c r="N375" t="n">
        <x:v>13957.44</x:v>
      </x:c>
      <x:c r="O375" t="n">
        <x:v>4561.2</x:v>
      </x:c>
      <x:c r="P375" t="n">
        <x:v>9396.24</x:v>
      </x:c>
      <x:c r="Q375" t="n">
        <x:v>67.31999999999999</x:v>
      </x:c>
      <x:c r="R375" t="inlineStr">
        <x:is>
          <x:t xml:space="preserve">Apple Pay</x:t>
        </x:is>
      </x:c>
      <x:c r="S375" t="inlineStr">
        <x:is>
          <x:t xml:space="preserve">New</x:t>
        </x:is>
      </x:c>
    </x:row>
    <x:row r="376">
      <x:c r="A376" t="inlineStr">
        <x:is>
          <x:t xml:space="preserve">T100376</x:t>
        </x:is>
      </x:c>
      <x:c r="B376" s="10" t="n">
        <x:v>45536</x:v>
      </x:c>
      <x:c r="C376" t="inlineStr">
        <x:is>
          <x:t xml:space="preserve">S003</x:t>
        </x:is>
      </x:c>
      <x:c r="D376" t="inlineStr">
        <x:is>
          <x:t xml:space="preserve">Coral Gables</x:t>
        </x:is>
      </x:c>
      <x:c r="E376" t="inlineStr">
        <x:is>
          <x:t xml:space="preserve">Gabriel Samra</x:t>
        </x:is>
      </x:c>
      <x:c r="F376" t="inlineStr">
        <x:is>
          <x:t xml:space="preserve">GS003</x:t>
        </x:is>
      </x:c>
      <x:c r="G376" t="inlineStr">
        <x:is>
          <x:t xml:space="preserve">Repair Mask</x:t>
        </x:is>
      </x:c>
      <x:c r="H376" t="inlineStr">
        <x:is>
          <x:t xml:space="preserve">Hair Care</x:t>
        </x:is>
      </x:c>
      <x:c r="I376" t="inlineStr">
        <x:is>
          <x:t xml:space="preserve">Daniel</x:t>
        </x:is>
      </x:c>
      <x:c r="J376" t="n">
        <x:v>65</x:v>
      </x:c>
      <x:c r="K376" t="n">
        <x:v>12.65</x:v>
      </x:c>
      <x:c r="L376" t="n">
        <x:v>31.71</x:v>
      </x:c>
      <x:c r="M376" t="n">
        <x:v>10</x:v>
      </x:c>
      <x:c r="N376" t="n">
        <x:v>2061.15</x:v>
      </x:c>
      <x:c r="O376" t="n">
        <x:v>822.25</x:v>
      </x:c>
      <x:c r="P376" t="n">
        <x:v>1238.9</x:v>
      </x:c>
      <x:c r="Q376" t="n">
        <x:v>60.11</x:v>
      </x:c>
      <x:c r="R376" t="inlineStr">
        <x:is>
          <x:t xml:space="preserve">Apple Pay</x:t>
        </x:is>
      </x:c>
      <x:c r="S376" t="inlineStr">
        <x:is>
          <x:t xml:space="preserve">New</x:t>
        </x:is>
      </x:c>
    </x:row>
    <x:row r="377">
      <x:c r="A377" t="inlineStr">
        <x:is>
          <x:t xml:space="preserve">T100377</x:t>
        </x:is>
      </x:c>
      <x:c r="B377" s="10" t="n">
        <x:v>45566</x:v>
      </x:c>
      <x:c r="C377" t="inlineStr">
        <x:is>
          <x:t xml:space="preserve">S003</x:t>
        </x:is>
      </x:c>
      <x:c r="D377" t="inlineStr">
        <x:is>
          <x:t xml:space="preserve">Coral Gables</x:t>
        </x:is>
      </x:c>
      <x:c r="E377" t="inlineStr">
        <x:is>
          <x:t xml:space="preserve">Gabriel Samra</x:t>
        </x:is>
      </x:c>
      <x:c r="F377" t="inlineStr">
        <x:is>
          <x:t xml:space="preserve">GS003</x:t>
        </x:is>
      </x:c>
      <x:c r="G377" t="inlineStr">
        <x:is>
          <x:t xml:space="preserve">Repair Mask</x:t>
        </x:is>
      </x:c>
      <x:c r="H377" t="inlineStr">
        <x:is>
          <x:t xml:space="preserve">Hair Care</x:t>
        </x:is>
      </x:c>
      <x:c r="I377" t="inlineStr">
        <x:is>
          <x:t xml:space="preserve">Lucas</x:t>
        </x:is>
      </x:c>
      <x:c r="J377" t="n">
        <x:v>75</x:v>
      </x:c>
      <x:c r="K377" t="n">
        <x:v>32.57</x:v>
      </x:c>
      <x:c r="L377" t="n">
        <x:v>105.97</x:v>
      </x:c>
      <x:c r="M377" t="n">
        <x:v>0</x:v>
      </x:c>
      <x:c r="N377" t="n">
        <x:v>7947.75</x:v>
      </x:c>
      <x:c r="O377" t="n">
        <x:v>2442.75</x:v>
      </x:c>
      <x:c r="P377" t="n">
        <x:v>5505</x:v>
      </x:c>
      <x:c r="Q377" t="n">
        <x:v>69.26000000000001</x:v>
      </x:c>
      <x:c r="R377" t="inlineStr">
        <x:is>
          <x:t xml:space="preserve">Cash</x:t>
        </x:is>
      </x:c>
      <x:c r="S377" t="inlineStr">
        <x:is>
          <x:t xml:space="preserve">New</x:t>
        </x:is>
      </x:c>
    </x:row>
    <x:row r="378">
      <x:c r="A378" t="inlineStr">
        <x:is>
          <x:t xml:space="preserve">T100378</x:t>
        </x:is>
      </x:c>
      <x:c r="B378" s="10" t="n">
        <x:v>45597</x:v>
      </x:c>
      <x:c r="C378" t="inlineStr">
        <x:is>
          <x:t xml:space="preserve">S003</x:t>
        </x:is>
      </x:c>
      <x:c r="D378" t="inlineStr">
        <x:is>
          <x:t xml:space="preserve">Coral Gables</x:t>
        </x:is>
      </x:c>
      <x:c r="E378" t="inlineStr">
        <x:is>
          <x:t xml:space="preserve">Gabriel Samra</x:t>
        </x:is>
      </x:c>
      <x:c r="F378" t="inlineStr">
        <x:is>
          <x:t xml:space="preserve">GS003</x:t>
        </x:is>
      </x:c>
      <x:c r="G378" t="inlineStr">
        <x:is>
          <x:t xml:space="preserve">Repair Mask</x:t>
        </x:is>
      </x:c>
      <x:c r="H378" t="inlineStr">
        <x:is>
          <x:t xml:space="preserve">Hair Care</x:t>
        </x:is>
      </x:c>
      <x:c r="I378" t="inlineStr">
        <x:is>
          <x:t xml:space="preserve">Olivia</x:t>
        </x:is>
      </x:c>
      <x:c r="J378" t="n">
        <x:v>85</x:v>
      </x:c>
      <x:c r="K378" t="n">
        <x:v>19.86</x:v>
      </x:c>
      <x:c r="L378" t="n">
        <x:v>44.01</x:v>
      </x:c>
      <x:c r="M378" t="n">
        <x:v>0</x:v>
      </x:c>
      <x:c r="N378" t="n">
        <x:v>3740.85</x:v>
      </x:c>
      <x:c r="O378" t="n">
        <x:v>1688.1</x:v>
      </x:c>
      <x:c r="P378" t="n">
        <x:v>2052.75</x:v>
      </x:c>
      <x:c r="Q378" t="n">
        <x:v>54.87</x:v>
      </x:c>
      <x:c r="R378" t="inlineStr">
        <x:is>
          <x:t xml:space="preserve">Apple Pay</x:t>
        </x:is>
      </x:c>
      <x:c r="S378" t="inlineStr">
        <x:is>
          <x:t xml:space="preserve">Returning</x:t>
        </x:is>
      </x:c>
    </x:row>
    <x:row r="379">
      <x:c r="A379" t="inlineStr">
        <x:is>
          <x:t xml:space="preserve">T100379</x:t>
        </x:is>
      </x:c>
      <x:c r="B379" s="10" t="n">
        <x:v>45627</x:v>
      </x:c>
      <x:c r="C379" t="inlineStr">
        <x:is>
          <x:t xml:space="preserve">S003</x:t>
        </x:is>
      </x:c>
      <x:c r="D379" t="inlineStr">
        <x:is>
          <x:t xml:space="preserve">Coral Gables</x:t>
        </x:is>
      </x:c>
      <x:c r="E379" t="inlineStr">
        <x:is>
          <x:t xml:space="preserve">Gabriel Samra</x:t>
        </x:is>
      </x:c>
      <x:c r="F379" t="inlineStr">
        <x:is>
          <x:t xml:space="preserve">GS003</x:t>
        </x:is>
      </x:c>
      <x:c r="G379" t="inlineStr">
        <x:is>
          <x:t xml:space="preserve">Repair Mask</x:t>
        </x:is>
      </x:c>
      <x:c r="H379" t="inlineStr">
        <x:is>
          <x:t xml:space="preserve">Hair Care</x:t>
        </x:is>
      </x:c>
      <x:c r="I379" t="inlineStr">
        <x:is>
          <x:t xml:space="preserve">Emma</x:t>
        </x:is>
      </x:c>
      <x:c r="J379" t="n">
        <x:v>83</x:v>
      </x:c>
      <x:c r="K379" t="n">
        <x:v>29.06</x:v>
      </x:c>
      <x:c r="L379" t="n">
        <x:v>70.7</x:v>
      </x:c>
      <x:c r="M379" t="n">
        <x:v>5</x:v>
      </x:c>
      <x:c r="N379" t="n">
        <x:v>5868.1</x:v>
      </x:c>
      <x:c r="O379" t="n">
        <x:v>2411.98</x:v>
      </x:c>
      <x:c r="P379" t="n">
        <x:v>3456.12</x:v>
      </x:c>
      <x:c r="Q379" t="n">
        <x:v>58.9</x:v>
      </x:c>
      <x:c r="R379" t="inlineStr">
        <x:is>
          <x:t xml:space="preserve">Apple Pay</x:t>
        </x:is>
      </x:c>
      <x:c r="S379" t="inlineStr">
        <x:is>
          <x:t xml:space="preserve">New</x:t>
        </x:is>
      </x:c>
    </x:row>
    <x:row r="380">
      <x:c r="A380" t="inlineStr">
        <x:is>
          <x:t xml:space="preserve">T100380</x:t>
        </x:is>
      </x:c>
      <x:c r="B380" s="10" t="n">
        <x:v>45658</x:v>
      </x:c>
      <x:c r="C380" t="inlineStr">
        <x:is>
          <x:t xml:space="preserve">S003</x:t>
        </x:is>
      </x:c>
      <x:c r="D380" t="inlineStr">
        <x:is>
          <x:t xml:space="preserve">Coral Gables</x:t>
        </x:is>
      </x:c>
      <x:c r="E380" t="inlineStr">
        <x:is>
          <x:t xml:space="preserve">Gabriel Samra</x:t>
        </x:is>
      </x:c>
      <x:c r="F380" t="inlineStr">
        <x:is>
          <x:t xml:space="preserve">GS003</x:t>
        </x:is>
      </x:c>
      <x:c r="G380" t="inlineStr">
        <x:is>
          <x:t xml:space="preserve">Repair Mask</x:t>
        </x:is>
      </x:c>
      <x:c r="H380" t="inlineStr">
        <x:is>
          <x:t xml:space="preserve">Hair Care</x:t>
        </x:is>
      </x:c>
      <x:c r="I380" t="inlineStr">
        <x:is>
          <x:t xml:space="preserve">Daniel</x:t>
        </x:is>
      </x:c>
      <x:c r="J380" t="n">
        <x:v>69</x:v>
      </x:c>
      <x:c r="K380" t="n">
        <x:v>33.31</x:v>
      </x:c>
      <x:c r="L380" t="n">
        <x:v>110.5</x:v>
      </x:c>
      <x:c r="M380" t="n">
        <x:v>0</x:v>
      </x:c>
      <x:c r="N380" t="n">
        <x:v>7624.5</x:v>
      </x:c>
      <x:c r="O380" t="n">
        <x:v>2298.39</x:v>
      </x:c>
      <x:c r="P380" t="n">
        <x:v>5326.11</x:v>
      </x:c>
      <x:c r="Q380" t="n">
        <x:v>69.86</x:v>
      </x:c>
      <x:c r="R380" t="inlineStr">
        <x:is>
          <x:t xml:space="preserve">Credit Card</x:t>
        </x:is>
      </x:c>
      <x:c r="S380" t="inlineStr">
        <x:is>
          <x:t xml:space="preserve">Returning</x:t>
        </x:is>
      </x:c>
    </x:row>
    <x:row r="381">
      <x:c r="A381" t="inlineStr">
        <x:is>
          <x:t xml:space="preserve">T100381</x:t>
        </x:is>
      </x:c>
      <x:c r="B381" s="10" t="n">
        <x:v>45689</x:v>
      </x:c>
      <x:c r="C381" t="inlineStr">
        <x:is>
          <x:t xml:space="preserve">S003</x:t>
        </x:is>
      </x:c>
      <x:c r="D381" t="inlineStr">
        <x:is>
          <x:t xml:space="preserve">Coral Gables</x:t>
        </x:is>
      </x:c>
      <x:c r="E381" t="inlineStr">
        <x:is>
          <x:t xml:space="preserve">Gabriel Samra</x:t>
        </x:is>
      </x:c>
      <x:c r="F381" t="inlineStr">
        <x:is>
          <x:t xml:space="preserve">GS003</x:t>
        </x:is>
      </x:c>
      <x:c r="G381" t="inlineStr">
        <x:is>
          <x:t xml:space="preserve">Repair Mask</x:t>
        </x:is>
      </x:c>
      <x:c r="H381" t="inlineStr">
        <x:is>
          <x:t xml:space="preserve">Hair Care</x:t>
        </x:is>
      </x:c>
      <x:c r="I381" t="inlineStr">
        <x:is>
          <x:t xml:space="preserve">Sophia</x:t>
        </x:is>
      </x:c>
      <x:c r="J381" t="n">
        <x:v>83</x:v>
      </x:c>
      <x:c r="K381" t="n">
        <x:v>22.4</x:v>
      </x:c>
      <x:c r="L381" t="n">
        <x:v>63.14</x:v>
      </x:c>
      <x:c r="M381" t="n">
        <x:v>10</x:v>
      </x:c>
      <x:c r="N381" t="n">
        <x:v>5240.62</x:v>
      </x:c>
      <x:c r="O381" t="n">
        <x:v>1859.2</x:v>
      </x:c>
      <x:c r="P381" t="n">
        <x:v>3381.42</x:v>
      </x:c>
      <x:c r="Q381" t="n">
        <x:v>64.52</x:v>
      </x:c>
      <x:c r="R381" t="inlineStr">
        <x:is>
          <x:t xml:space="preserve">Apple Pay</x:t>
        </x:is>
      </x:c>
      <x:c r="S381" t="inlineStr">
        <x:is>
          <x:t xml:space="preserve">New</x:t>
        </x:is>
      </x:c>
    </x:row>
    <x:row r="382">
      <x:c r="A382" t="inlineStr">
        <x:is>
          <x:t xml:space="preserve">T100382</x:t>
        </x:is>
      </x:c>
      <x:c r="B382" s="10" t="n">
        <x:v>45717</x:v>
      </x:c>
      <x:c r="C382" t="inlineStr">
        <x:is>
          <x:t xml:space="preserve">S003</x:t>
        </x:is>
      </x:c>
      <x:c r="D382" t="inlineStr">
        <x:is>
          <x:t xml:space="preserve">Coral Gables</x:t>
        </x:is>
      </x:c>
      <x:c r="E382" t="inlineStr">
        <x:is>
          <x:t xml:space="preserve">Gabriel Samra</x:t>
        </x:is>
      </x:c>
      <x:c r="F382" t="inlineStr">
        <x:is>
          <x:t xml:space="preserve">GS003</x:t>
        </x:is>
      </x:c>
      <x:c r="G382" t="inlineStr">
        <x:is>
          <x:t xml:space="preserve">Repair Mask</x:t>
        </x:is>
      </x:c>
      <x:c r="H382" t="inlineStr">
        <x:is>
          <x:t xml:space="preserve">Hair Care</x:t>
        </x:is>
      </x:c>
      <x:c r="I382" t="inlineStr">
        <x:is>
          <x:t xml:space="preserve">Daniel</x:t>
        </x:is>
      </x:c>
      <x:c r="J382" t="n">
        <x:v>87</x:v>
      </x:c>
      <x:c r="K382" t="n">
        <x:v>12.97</x:v>
      </x:c>
      <x:c r="L382" t="n">
        <x:v>29.76</x:v>
      </x:c>
      <x:c r="M382" t="n">
        <x:v>0</x:v>
      </x:c>
      <x:c r="N382" t="n">
        <x:v>2589.12</x:v>
      </x:c>
      <x:c r="O382" t="n">
        <x:v>1128.39</x:v>
      </x:c>
      <x:c r="P382" t="n">
        <x:v>1460.73</x:v>
      </x:c>
      <x:c r="Q382" t="n">
        <x:v>56.42</x:v>
      </x:c>
      <x:c r="R382" t="inlineStr">
        <x:is>
          <x:t xml:space="preserve">Cash</x:t>
        </x:is>
      </x:c>
      <x:c r="S382" t="inlineStr">
        <x:is>
          <x:t xml:space="preserve">New</x:t>
        </x:is>
      </x:c>
    </x:row>
    <x:row r="383">
      <x:c r="A383" t="inlineStr">
        <x:is>
          <x:t xml:space="preserve">T100383</x:t>
        </x:is>
      </x:c>
      <x:c r="B383" s="10" t="n">
        <x:v>45748</x:v>
      </x:c>
      <x:c r="C383" t="inlineStr">
        <x:is>
          <x:t xml:space="preserve">S003</x:t>
        </x:is>
      </x:c>
      <x:c r="D383" t="inlineStr">
        <x:is>
          <x:t xml:space="preserve">Coral Gables</x:t>
        </x:is>
      </x:c>
      <x:c r="E383" t="inlineStr">
        <x:is>
          <x:t xml:space="preserve">Gabriel Samra</x:t>
        </x:is>
      </x:c>
      <x:c r="F383" t="inlineStr">
        <x:is>
          <x:t xml:space="preserve">GS003</x:t>
        </x:is>
      </x:c>
      <x:c r="G383" t="inlineStr">
        <x:is>
          <x:t xml:space="preserve">Repair Mask</x:t>
        </x:is>
      </x:c>
      <x:c r="H383" t="inlineStr">
        <x:is>
          <x:t xml:space="preserve">Hair Care</x:t>
        </x:is>
      </x:c>
      <x:c r="I383" t="inlineStr">
        <x:is>
          <x:t xml:space="preserve">Sophia</x:t>
        </x:is>
      </x:c>
      <x:c r="J383" t="n">
        <x:v>96</x:v>
      </x:c>
      <x:c r="K383" t="n">
        <x:v>30.44</x:v>
      </x:c>
      <x:c r="L383" t="n">
        <x:v>105.63</x:v>
      </x:c>
      <x:c r="M383" t="n">
        <x:v>10</x:v>
      </x:c>
      <x:c r="N383" t="n">
        <x:v>10140.48</x:v>
      </x:c>
      <x:c r="O383" t="n">
        <x:v>2922.24</x:v>
      </x:c>
      <x:c r="P383" t="n">
        <x:v>7218.24</x:v>
      </x:c>
      <x:c r="Q383" t="n">
        <x:v>71.18000000000001</x:v>
      </x:c>
      <x:c r="R383" t="inlineStr">
        <x:is>
          <x:t xml:space="preserve">Credit Card</x:t>
        </x:is>
      </x:c>
      <x:c r="S383" t="inlineStr">
        <x:is>
          <x:t xml:space="preserve">Returning</x:t>
        </x:is>
      </x:c>
    </x:row>
    <x:row r="384">
      <x:c r="A384" t="inlineStr">
        <x:is>
          <x:t xml:space="preserve">T100384</x:t>
        </x:is>
      </x:c>
      <x:c r="B384" s="10" t="n">
        <x:v>45778</x:v>
      </x:c>
      <x:c r="C384" t="inlineStr">
        <x:is>
          <x:t xml:space="preserve">S003</x:t>
        </x:is>
      </x:c>
      <x:c r="D384" t="inlineStr">
        <x:is>
          <x:t xml:space="preserve">Coral Gables</x:t>
        </x:is>
      </x:c>
      <x:c r="E384" t="inlineStr">
        <x:is>
          <x:t xml:space="preserve">Gabriel Samra</x:t>
        </x:is>
      </x:c>
      <x:c r="F384" t="inlineStr">
        <x:is>
          <x:t xml:space="preserve">GS003</x:t>
        </x:is>
      </x:c>
      <x:c r="G384" t="inlineStr">
        <x:is>
          <x:t xml:space="preserve">Repair Mask</x:t>
        </x:is>
      </x:c>
      <x:c r="H384" t="inlineStr">
        <x:is>
          <x:t xml:space="preserve">Hair Care</x:t>
        </x:is>
      </x:c>
      <x:c r="I384" t="inlineStr">
        <x:is>
          <x:t xml:space="preserve">Sophia</x:t>
        </x:is>
      </x:c>
      <x:c r="J384" t="n">
        <x:v>79</x:v>
      </x:c>
      <x:c r="K384" t="n">
        <x:v>29.31</x:v>
      </x:c>
      <x:c r="L384" t="n">
        <x:v>78.45999999999999</x:v>
      </x:c>
      <x:c r="M384" t="n">
        <x:v>0</x:v>
      </x:c>
      <x:c r="N384" t="n">
        <x:v>6198.34</x:v>
      </x:c>
      <x:c r="O384" t="n">
        <x:v>2315.49</x:v>
      </x:c>
      <x:c r="P384" t="n">
        <x:v>3882.85</x:v>
      </x:c>
      <x:c r="Q384" t="n">
        <x:v>62.64</x:v>
      </x:c>
      <x:c r="R384" t="inlineStr">
        <x:is>
          <x:t xml:space="preserve">Cash</x:t>
        </x:is>
      </x:c>
      <x:c r="S384" t="inlineStr">
        <x:is>
          <x:t xml:space="preserve">New</x:t>
        </x:is>
      </x:c>
    </x:row>
    <x:row r="385">
      <x:c r="A385" t="inlineStr">
        <x:is>
          <x:t xml:space="preserve">T100385</x:t>
        </x:is>
      </x:c>
      <x:c r="B385" s="10" t="n">
        <x:v>45809</x:v>
      </x:c>
      <x:c r="C385" t="inlineStr">
        <x:is>
          <x:t xml:space="preserve">S003</x:t>
        </x:is>
      </x:c>
      <x:c r="D385" t="inlineStr">
        <x:is>
          <x:t xml:space="preserve">Coral Gables</x:t>
        </x:is>
      </x:c>
      <x:c r="E385" t="inlineStr">
        <x:is>
          <x:t xml:space="preserve">Gabriel Samra</x:t>
        </x:is>
      </x:c>
      <x:c r="F385" t="inlineStr">
        <x:is>
          <x:t xml:space="preserve">GS003</x:t>
        </x:is>
      </x:c>
      <x:c r="G385" t="inlineStr">
        <x:is>
          <x:t xml:space="preserve">Repair Mask</x:t>
        </x:is>
      </x:c>
      <x:c r="H385" t="inlineStr">
        <x:is>
          <x:t xml:space="preserve">Hair Care</x:t>
        </x:is>
      </x:c>
      <x:c r="I385" t="inlineStr">
        <x:is>
          <x:t xml:space="preserve">Daniel</x:t>
        </x:is>
      </x:c>
      <x:c r="J385" t="n">
        <x:v>125</x:v>
      </x:c>
      <x:c r="K385" t="n">
        <x:v>28.2</x:v>
      </x:c>
      <x:c r="L385" t="n">
        <x:v>71.56</x:v>
      </x:c>
      <x:c r="M385" t="n">
        <x:v>0</x:v>
      </x:c>
      <x:c r="N385" t="n">
        <x:v>8945</x:v>
      </x:c>
      <x:c r="O385" t="n">
        <x:v>3525</x:v>
      </x:c>
      <x:c r="P385" t="n">
        <x:v>5420</x:v>
      </x:c>
      <x:c r="Q385" t="n">
        <x:v>60.59</x:v>
      </x:c>
      <x:c r="R385" t="inlineStr">
        <x:is>
          <x:t xml:space="preserve">Credit Card</x:t>
        </x:is>
      </x:c>
      <x:c r="S385" t="inlineStr">
        <x:is>
          <x:t xml:space="preserve">Returning</x:t>
        </x:is>
      </x:c>
    </x:row>
    <x:row r="386">
      <x:c r="A386" t="inlineStr">
        <x:is>
          <x:t xml:space="preserve">T100386</x:t>
        </x:is>
      </x:c>
      <x:c r="B386" s="10" t="n">
        <x:v>45292</x:v>
      </x:c>
      <x:c r="C386" t="inlineStr">
        <x:is>
          <x:t xml:space="preserve">S003</x:t>
        </x:is>
      </x:c>
      <x:c r="D386" t="inlineStr">
        <x:is>
          <x:t xml:space="preserve">Coral Gables</x:t>
        </x:is>
      </x:c>
      <x:c r="E386" t="inlineStr">
        <x:is>
          <x:t xml:space="preserve">Gabriel Samra</x:t>
        </x:is>
      </x:c>
      <x:c r="F386" t="inlineStr">
        <x:is>
          <x:t xml:space="preserve">GS004</x:t>
        </x:is>
      </x:c>
      <x:c r="G386" t="inlineStr">
        <x:is>
          <x:t xml:space="preserve">Blonde Conditioner</x:t>
        </x:is>
      </x:c>
      <x:c r="H386" t="inlineStr">
        <x:is>
          <x:t xml:space="preserve">Hair Care</x:t>
        </x:is>
      </x:c>
      <x:c r="I386" t="inlineStr">
        <x:is>
          <x:t xml:space="preserve">Emma</x:t>
        </x:is>
      </x:c>
      <x:c r="J386" t="n">
        <x:v>38</x:v>
      </x:c>
      <x:c r="K386" t="n">
        <x:v>29.45</x:v>
      </x:c>
      <x:c r="L386" t="n">
        <x:v>98.69</x:v>
      </x:c>
      <x:c r="M386" t="n">
        <x:v>0</x:v>
      </x:c>
      <x:c r="N386" t="n">
        <x:v>3750.22</x:v>
      </x:c>
      <x:c r="O386" t="n">
        <x:v>1119.1</x:v>
      </x:c>
      <x:c r="P386" t="n">
        <x:v>2631.12</x:v>
      </x:c>
      <x:c r="Q386" t="n">
        <x:v>70.16</x:v>
      </x:c>
      <x:c r="R386" t="inlineStr">
        <x:is>
          <x:t xml:space="preserve">Cash</x:t>
        </x:is>
      </x:c>
      <x:c r="S386" t="inlineStr">
        <x:is>
          <x:t xml:space="preserve">Returning</x:t>
        </x:is>
      </x:c>
    </x:row>
    <x:row r="387">
      <x:c r="A387" t="inlineStr">
        <x:is>
          <x:t xml:space="preserve">T100387</x:t>
        </x:is>
      </x:c>
      <x:c r="B387" s="10" t="n">
        <x:v>45323</x:v>
      </x:c>
      <x:c r="C387" t="inlineStr">
        <x:is>
          <x:t xml:space="preserve">S003</x:t>
        </x:is>
      </x:c>
      <x:c r="D387" t="inlineStr">
        <x:is>
          <x:t xml:space="preserve">Coral Gables</x:t>
        </x:is>
      </x:c>
      <x:c r="E387" t="inlineStr">
        <x:is>
          <x:t xml:space="preserve">Gabriel Samra</x:t>
        </x:is>
      </x:c>
      <x:c r="F387" t="inlineStr">
        <x:is>
          <x:t xml:space="preserve">GS004</x:t>
        </x:is>
      </x:c>
      <x:c r="G387" t="inlineStr">
        <x:is>
          <x:t xml:space="preserve">Blonde Conditioner</x:t>
        </x:is>
      </x:c>
      <x:c r="H387" t="inlineStr">
        <x:is>
          <x:t xml:space="preserve">Hair Care</x:t>
        </x:is>
      </x:c>
      <x:c r="I387" t="inlineStr">
        <x:is>
          <x:t xml:space="preserve">Sophia</x:t>
        </x:is>
      </x:c>
      <x:c r="J387" t="n">
        <x:v>43</x:v>
      </x:c>
      <x:c r="K387" t="n">
        <x:v>19.32</x:v>
      </x:c>
      <x:c r="L387" t="n">
        <x:v>47.02</x:v>
      </x:c>
      <x:c r="M387" t="n">
        <x:v>0</x:v>
      </x:c>
      <x:c r="N387" t="n">
        <x:v>2021.86</x:v>
      </x:c>
      <x:c r="O387" t="n">
        <x:v>830.76</x:v>
      </x:c>
      <x:c r="P387" t="n">
        <x:v>1191.1</x:v>
      </x:c>
      <x:c r="Q387" t="n">
        <x:v>58.91</x:v>
      </x:c>
      <x:c r="R387" t="inlineStr">
        <x:is>
          <x:t xml:space="preserve">Cash</x:t>
        </x:is>
      </x:c>
      <x:c r="S387" t="inlineStr">
        <x:is>
          <x:t xml:space="preserve">New</x:t>
        </x:is>
      </x:c>
    </x:row>
    <x:row r="388">
      <x:c r="A388" t="inlineStr">
        <x:is>
          <x:t xml:space="preserve">T100388</x:t>
        </x:is>
      </x:c>
      <x:c r="B388" s="10" t="n">
        <x:v>45352</x:v>
      </x:c>
      <x:c r="C388" t="inlineStr">
        <x:is>
          <x:t xml:space="preserve">S003</x:t>
        </x:is>
      </x:c>
      <x:c r="D388" t="inlineStr">
        <x:is>
          <x:t xml:space="preserve">Coral Gables</x:t>
        </x:is>
      </x:c>
      <x:c r="E388" t="inlineStr">
        <x:is>
          <x:t xml:space="preserve">Gabriel Samra</x:t>
        </x:is>
      </x:c>
      <x:c r="F388" t="inlineStr">
        <x:is>
          <x:t xml:space="preserve">GS004</x:t>
        </x:is>
      </x:c>
      <x:c r="G388" t="inlineStr">
        <x:is>
          <x:t xml:space="preserve">Blonde Conditioner</x:t>
        </x:is>
      </x:c>
      <x:c r="H388" t="inlineStr">
        <x:is>
          <x:t xml:space="preserve">Hair Care</x:t>
        </x:is>
      </x:c>
      <x:c r="I388" t="inlineStr">
        <x:is>
          <x:t xml:space="preserve">Lucas</x:t>
        </x:is>
      </x:c>
      <x:c r="J388" t="n">
        <x:v>45</x:v>
      </x:c>
      <x:c r="K388" t="n">
        <x:v>33.16</x:v>
      </x:c>
      <x:c r="L388" t="n">
        <x:v>105.4</x:v>
      </x:c>
      <x:c r="M388" t="n">
        <x:v>5</x:v>
      </x:c>
      <x:c r="N388" t="n">
        <x:v>4743</x:v>
      </x:c>
      <x:c r="O388" t="n">
        <x:v>1492.2</x:v>
      </x:c>
      <x:c r="P388" t="n">
        <x:v>3250.8</x:v>
      </x:c>
      <x:c r="Q388" t="n">
        <x:v>68.54000000000001</x:v>
      </x:c>
      <x:c r="R388" t="inlineStr">
        <x:is>
          <x:t xml:space="preserve">Credit Card</x:t>
        </x:is>
      </x:c>
      <x:c r="S388" t="inlineStr">
        <x:is>
          <x:t xml:space="preserve">Returning</x:t>
        </x:is>
      </x:c>
    </x:row>
    <x:row r="389">
      <x:c r="A389" t="inlineStr">
        <x:is>
          <x:t xml:space="preserve">T100389</x:t>
        </x:is>
      </x:c>
      <x:c r="B389" s="10" t="n">
        <x:v>45383</x:v>
      </x:c>
      <x:c r="C389" t="inlineStr">
        <x:is>
          <x:t xml:space="preserve">S003</x:t>
        </x:is>
      </x:c>
      <x:c r="D389" t="inlineStr">
        <x:is>
          <x:t xml:space="preserve">Coral Gables</x:t>
        </x:is>
      </x:c>
      <x:c r="E389" t="inlineStr">
        <x:is>
          <x:t xml:space="preserve">Gabriel Samra</x:t>
        </x:is>
      </x:c>
      <x:c r="F389" t="inlineStr">
        <x:is>
          <x:t xml:space="preserve">GS004</x:t>
        </x:is>
      </x:c>
      <x:c r="G389" t="inlineStr">
        <x:is>
          <x:t xml:space="preserve">Blonde Conditioner</x:t>
        </x:is>
      </x:c>
      <x:c r="H389" t="inlineStr">
        <x:is>
          <x:t xml:space="preserve">Hair Care</x:t>
        </x:is>
      </x:c>
      <x:c r="I389" t="inlineStr">
        <x:is>
          <x:t xml:space="preserve">Lucas</x:t>
        </x:is>
      </x:c>
      <x:c r="J389" t="n">
        <x:v>49</x:v>
      </x:c>
      <x:c r="K389" t="n">
        <x:v>22.02</x:v>
      </x:c>
      <x:c r="L389" t="n">
        <x:v>52.33</x:v>
      </x:c>
      <x:c r="M389" t="n">
        <x:v>5</x:v>
      </x:c>
      <x:c r="N389" t="n">
        <x:v>2564.17</x:v>
      </x:c>
      <x:c r="O389" t="n">
        <x:v>1078.98</x:v>
      </x:c>
      <x:c r="P389" t="n">
        <x:v>1485.19</x:v>
      </x:c>
      <x:c r="Q389" t="n">
        <x:v>57.92</x:v>
      </x:c>
      <x:c r="R389" t="inlineStr">
        <x:is>
          <x:t xml:space="preserve">Cash</x:t>
        </x:is>
      </x:c>
      <x:c r="S389" t="inlineStr">
        <x:is>
          <x:t xml:space="preserve">New</x:t>
        </x:is>
      </x:c>
    </x:row>
    <x:row r="390">
      <x:c r="A390" t="inlineStr">
        <x:is>
          <x:t xml:space="preserve">T100390</x:t>
        </x:is>
      </x:c>
      <x:c r="B390" s="10" t="n">
        <x:v>45413</x:v>
      </x:c>
      <x:c r="C390" t="inlineStr">
        <x:is>
          <x:t xml:space="preserve">S003</x:t>
        </x:is>
      </x:c>
      <x:c r="D390" t="inlineStr">
        <x:is>
          <x:t xml:space="preserve">Coral Gables</x:t>
        </x:is>
      </x:c>
      <x:c r="E390" t="inlineStr">
        <x:is>
          <x:t xml:space="preserve">Gabriel Samra</x:t>
        </x:is>
      </x:c>
      <x:c r="F390" t="inlineStr">
        <x:is>
          <x:t xml:space="preserve">GS004</x:t>
        </x:is>
      </x:c>
      <x:c r="G390" t="inlineStr">
        <x:is>
          <x:t xml:space="preserve">Blonde Conditioner</x:t>
        </x:is>
      </x:c>
      <x:c r="H390" t="inlineStr">
        <x:is>
          <x:t xml:space="preserve">Hair Care</x:t>
        </x:is>
      </x:c>
      <x:c r="I390" t="inlineStr">
        <x:is>
          <x:t xml:space="preserve">Olivia</x:t>
        </x:is>
      </x:c>
      <x:c r="J390" t="n">
        <x:v>43</x:v>
      </x:c>
      <x:c r="K390" t="n">
        <x:v>32.76</x:v>
      </x:c>
      <x:c r="L390" t="n">
        <x:v>76.29000000000001</x:v>
      </x:c>
      <x:c r="M390" t="n">
        <x:v>5</x:v>
      </x:c>
      <x:c r="N390" t="n">
        <x:v>3280.47</x:v>
      </x:c>
      <x:c r="O390" t="n">
        <x:v>1408.68</x:v>
      </x:c>
      <x:c r="P390" t="n">
        <x:v>1871.79</x:v>
      </x:c>
      <x:c r="Q390" t="n">
        <x:v>57.06</x:v>
      </x:c>
      <x:c r="R390" t="inlineStr">
        <x:is>
          <x:t xml:space="preserve">Cash</x:t>
        </x:is>
      </x:c>
      <x:c r="S390" t="inlineStr">
        <x:is>
          <x:t xml:space="preserve">New</x:t>
        </x:is>
      </x:c>
    </x:row>
    <x:row r="391">
      <x:c r="A391" t="inlineStr">
        <x:is>
          <x:t xml:space="preserve">T100391</x:t>
        </x:is>
      </x:c>
      <x:c r="B391" s="10" t="n">
        <x:v>45444</x:v>
      </x:c>
      <x:c r="C391" t="inlineStr">
        <x:is>
          <x:t xml:space="preserve">S003</x:t>
        </x:is>
      </x:c>
      <x:c r="D391" t="inlineStr">
        <x:is>
          <x:t xml:space="preserve">Coral Gables</x:t>
        </x:is>
      </x:c>
      <x:c r="E391" t="inlineStr">
        <x:is>
          <x:t xml:space="preserve">Gabriel Samra</x:t>
        </x:is>
      </x:c>
      <x:c r="F391" t="inlineStr">
        <x:is>
          <x:t xml:space="preserve">GS004</x:t>
        </x:is>
      </x:c>
      <x:c r="G391" t="inlineStr">
        <x:is>
          <x:t xml:space="preserve">Blonde Conditioner</x:t>
        </x:is>
      </x:c>
      <x:c r="H391" t="inlineStr">
        <x:is>
          <x:t xml:space="preserve">Hair Care</x:t>
        </x:is>
      </x:c>
      <x:c r="I391" t="inlineStr">
        <x:is>
          <x:t xml:space="preserve">Emma</x:t>
        </x:is>
      </x:c>
      <x:c r="J391" t="n">
        <x:v>61</x:v>
      </x:c>
      <x:c r="K391" t="n">
        <x:v>16.92</x:v>
      </x:c>
      <x:c r="L391" t="n">
        <x:v>37.31</x:v>
      </x:c>
      <x:c r="M391" t="n">
        <x:v>10</x:v>
      </x:c>
      <x:c r="N391" t="n">
        <x:v>2275.91</x:v>
      </x:c>
      <x:c r="O391" t="n">
        <x:v>1032.12</x:v>
      </x:c>
      <x:c r="P391" t="n">
        <x:v>1243.79</x:v>
      </x:c>
      <x:c r="Q391" t="n">
        <x:v>54.65</x:v>
      </x:c>
      <x:c r="R391" t="inlineStr">
        <x:is>
          <x:t xml:space="preserve">Cash</x:t>
        </x:is>
      </x:c>
      <x:c r="S391" t="inlineStr">
        <x:is>
          <x:t xml:space="preserve">Returning</x:t>
        </x:is>
      </x:c>
    </x:row>
    <x:row r="392">
      <x:c r="A392" t="inlineStr">
        <x:is>
          <x:t xml:space="preserve">T100392</x:t>
        </x:is>
      </x:c>
      <x:c r="B392" s="10" t="n">
        <x:v>45474</x:v>
      </x:c>
      <x:c r="C392" t="inlineStr">
        <x:is>
          <x:t xml:space="preserve">S003</x:t>
        </x:is>
      </x:c>
      <x:c r="D392" t="inlineStr">
        <x:is>
          <x:t xml:space="preserve">Coral Gables</x:t>
        </x:is>
      </x:c>
      <x:c r="E392" t="inlineStr">
        <x:is>
          <x:t xml:space="preserve">Gabriel Samra</x:t>
        </x:is>
      </x:c>
      <x:c r="F392" t="inlineStr">
        <x:is>
          <x:t xml:space="preserve">GS004</x:t>
        </x:is>
      </x:c>
      <x:c r="G392" t="inlineStr">
        <x:is>
          <x:t xml:space="preserve">Blonde Conditioner</x:t>
        </x:is>
      </x:c>
      <x:c r="H392" t="inlineStr">
        <x:is>
          <x:t xml:space="preserve">Hair Care</x:t>
        </x:is>
      </x:c>
      <x:c r="I392" t="inlineStr">
        <x:is>
          <x:t xml:space="preserve">Lucas</x:t>
        </x:is>
      </x:c>
      <x:c r="J392" t="n">
        <x:v>65</x:v>
      </x:c>
      <x:c r="K392" t="n">
        <x:v>27.49</x:v>
      </x:c>
      <x:c r="L392" t="n">
        <x:v>63.64</x:v>
      </x:c>
      <x:c r="M392" t="n">
        <x:v>5</x:v>
      </x:c>
      <x:c r="N392" t="n">
        <x:v>4136.6</x:v>
      </x:c>
      <x:c r="O392" t="n">
        <x:v>1786.85</x:v>
      </x:c>
      <x:c r="P392" t="n">
        <x:v>2349.75</x:v>
      </x:c>
      <x:c r="Q392" t="n">
        <x:v>56.8</x:v>
      </x:c>
      <x:c r="R392" t="inlineStr">
        <x:is>
          <x:t xml:space="preserve">Cash</x:t>
        </x:is>
      </x:c>
      <x:c r="S392" t="inlineStr">
        <x:is>
          <x:t xml:space="preserve">Returning</x:t>
        </x:is>
      </x:c>
    </x:row>
    <x:row r="393">
      <x:c r="A393" t="inlineStr">
        <x:is>
          <x:t xml:space="preserve">T100393</x:t>
        </x:is>
      </x:c>
      <x:c r="B393" s="10" t="n">
        <x:v>45505</x:v>
      </x:c>
      <x:c r="C393" t="inlineStr">
        <x:is>
          <x:t xml:space="preserve">S003</x:t>
        </x:is>
      </x:c>
      <x:c r="D393" t="inlineStr">
        <x:is>
          <x:t xml:space="preserve">Coral Gables</x:t>
        </x:is>
      </x:c>
      <x:c r="E393" t="inlineStr">
        <x:is>
          <x:t xml:space="preserve">Gabriel Samra</x:t>
        </x:is>
      </x:c>
      <x:c r="F393" t="inlineStr">
        <x:is>
          <x:t xml:space="preserve">GS004</x:t>
        </x:is>
      </x:c>
      <x:c r="G393" t="inlineStr">
        <x:is>
          <x:t xml:space="preserve">Blonde Conditioner</x:t>
        </x:is>
      </x:c>
      <x:c r="H393" t="inlineStr">
        <x:is>
          <x:t xml:space="preserve">Hair Care</x:t>
        </x:is>
      </x:c>
      <x:c r="I393" t="inlineStr">
        <x:is>
          <x:t xml:space="preserve">Sophia</x:t>
        </x:is>
      </x:c>
      <x:c r="J393" t="n">
        <x:v>47</x:v>
      </x:c>
      <x:c r="K393" t="n">
        <x:v>33.18</x:v>
      </x:c>
      <x:c r="L393" t="n">
        <x:v>106.45</x:v>
      </x:c>
      <x:c r="M393" t="n">
        <x:v>0</x:v>
      </x:c>
      <x:c r="N393" t="n">
        <x:v>5003.15</x:v>
      </x:c>
      <x:c r="O393" t="n">
        <x:v>1559.46</x:v>
      </x:c>
      <x:c r="P393" t="n">
        <x:v>3443.69</x:v>
      </x:c>
      <x:c r="Q393" t="n">
        <x:v>68.83</x:v>
      </x:c>
      <x:c r="R393" t="inlineStr">
        <x:is>
          <x:t xml:space="preserve">Apple Pay</x:t>
        </x:is>
      </x:c>
      <x:c r="S393" t="inlineStr">
        <x:is>
          <x:t xml:space="preserve">Returning</x:t>
        </x:is>
      </x:c>
    </x:row>
    <x:row r="394">
      <x:c r="A394" t="inlineStr">
        <x:is>
          <x:t xml:space="preserve">T100394</x:t>
        </x:is>
      </x:c>
      <x:c r="B394" s="10" t="n">
        <x:v>45536</x:v>
      </x:c>
      <x:c r="C394" t="inlineStr">
        <x:is>
          <x:t xml:space="preserve">S003</x:t>
        </x:is>
      </x:c>
      <x:c r="D394" t="inlineStr">
        <x:is>
          <x:t xml:space="preserve">Coral Gables</x:t>
        </x:is>
      </x:c>
      <x:c r="E394" t="inlineStr">
        <x:is>
          <x:t xml:space="preserve">Gabriel Samra</x:t>
        </x:is>
      </x:c>
      <x:c r="F394" t="inlineStr">
        <x:is>
          <x:t xml:space="preserve">GS004</x:t>
        </x:is>
      </x:c>
      <x:c r="G394" t="inlineStr">
        <x:is>
          <x:t xml:space="preserve">Blonde Conditioner</x:t>
        </x:is>
      </x:c>
      <x:c r="H394" t="inlineStr">
        <x:is>
          <x:t xml:space="preserve">Hair Care</x:t>
        </x:is>
      </x:c>
      <x:c r="I394" t="inlineStr">
        <x:is>
          <x:t xml:space="preserve">Daniel</x:t>
        </x:is>
      </x:c>
      <x:c r="J394" t="n">
        <x:v>52</x:v>
      </x:c>
      <x:c r="K394" t="n">
        <x:v>24.85</x:v>
      </x:c>
      <x:c r="L394" t="n">
        <x:v>64.42</x:v>
      </x:c>
      <x:c r="M394" t="n">
        <x:v>0</x:v>
      </x:c>
      <x:c r="N394" t="n">
        <x:v>3349.84</x:v>
      </x:c>
      <x:c r="O394" t="n">
        <x:v>1292.2</x:v>
      </x:c>
      <x:c r="P394" t="n">
        <x:v>2057.64</x:v>
      </x:c>
      <x:c r="Q394" t="n">
        <x:v>61.43</x:v>
      </x:c>
      <x:c r="R394" t="inlineStr">
        <x:is>
          <x:t xml:space="preserve">Apple Pay</x:t>
        </x:is>
      </x:c>
      <x:c r="S394" t="inlineStr">
        <x:is>
          <x:t xml:space="preserve">Returning</x:t>
        </x:is>
      </x:c>
    </x:row>
    <x:row r="395">
      <x:c r="A395" t="inlineStr">
        <x:is>
          <x:t xml:space="preserve">T100395</x:t>
        </x:is>
      </x:c>
      <x:c r="B395" s="10" t="n">
        <x:v>45566</x:v>
      </x:c>
      <x:c r="C395" t="inlineStr">
        <x:is>
          <x:t xml:space="preserve">S003</x:t>
        </x:is>
      </x:c>
      <x:c r="D395" t="inlineStr">
        <x:is>
          <x:t xml:space="preserve">Coral Gables</x:t>
        </x:is>
      </x:c>
      <x:c r="E395" t="inlineStr">
        <x:is>
          <x:t xml:space="preserve">Gabriel Samra</x:t>
        </x:is>
      </x:c>
      <x:c r="F395" t="inlineStr">
        <x:is>
          <x:t xml:space="preserve">GS004</x:t>
        </x:is>
      </x:c>
      <x:c r="G395" t="inlineStr">
        <x:is>
          <x:t xml:space="preserve">Blonde Conditioner</x:t>
        </x:is>
      </x:c>
      <x:c r="H395" t="inlineStr">
        <x:is>
          <x:t xml:space="preserve">Hair Care</x:t>
        </x:is>
      </x:c>
      <x:c r="I395" t="inlineStr">
        <x:is>
          <x:t xml:space="preserve">Daniel</x:t>
        </x:is>
      </x:c>
      <x:c r="J395" t="n">
        <x:v>65</x:v>
      </x:c>
      <x:c r="K395" t="n">
        <x:v>17.95</x:v>
      </x:c>
      <x:c r="L395" t="n">
        <x:v>39.36</x:v>
      </x:c>
      <x:c r="M395" t="n">
        <x:v>0</x:v>
      </x:c>
      <x:c r="N395" t="n">
        <x:v>2558.4</x:v>
      </x:c>
      <x:c r="O395" t="n">
        <x:v>1166.75</x:v>
      </x:c>
      <x:c r="P395" t="n">
        <x:v>1391.65</x:v>
      </x:c>
      <x:c r="Q395" t="n">
        <x:v>54.4</x:v>
      </x:c>
      <x:c r="R395" t="inlineStr">
        <x:is>
          <x:t xml:space="preserve">Apple Pay</x:t>
        </x:is>
      </x:c>
      <x:c r="S395" t="inlineStr">
        <x:is>
          <x:t xml:space="preserve">Returning</x:t>
        </x:is>
      </x:c>
    </x:row>
    <x:row r="396">
      <x:c r="A396" t="inlineStr">
        <x:is>
          <x:t xml:space="preserve">T100396</x:t>
        </x:is>
      </x:c>
      <x:c r="B396" s="10" t="n">
        <x:v>45597</x:v>
      </x:c>
      <x:c r="C396" t="inlineStr">
        <x:is>
          <x:t xml:space="preserve">S003</x:t>
        </x:is>
      </x:c>
      <x:c r="D396" t="inlineStr">
        <x:is>
          <x:t xml:space="preserve">Coral Gables</x:t>
        </x:is>
      </x:c>
      <x:c r="E396" t="inlineStr">
        <x:is>
          <x:t xml:space="preserve">Gabriel Samra</x:t>
        </x:is>
      </x:c>
      <x:c r="F396" t="inlineStr">
        <x:is>
          <x:t xml:space="preserve">GS004</x:t>
        </x:is>
      </x:c>
      <x:c r="G396" t="inlineStr">
        <x:is>
          <x:t xml:space="preserve">Blonde Conditioner</x:t>
        </x:is>
      </x:c>
      <x:c r="H396" t="inlineStr">
        <x:is>
          <x:t xml:space="preserve">Hair Care</x:t>
        </x:is>
      </x:c>
      <x:c r="I396" t="inlineStr">
        <x:is>
          <x:t xml:space="preserve">Daniel</x:t>
        </x:is>
      </x:c>
      <x:c r="J396" t="n">
        <x:v>73</x:v>
      </x:c>
      <x:c r="K396" t="n">
        <x:v>18.56</x:v>
      </x:c>
      <x:c r="L396" t="n">
        <x:v>48.39</x:v>
      </x:c>
      <x:c r="M396" t="n">
        <x:v>0</x:v>
      </x:c>
      <x:c r="N396" t="n">
        <x:v>3532.47</x:v>
      </x:c>
      <x:c r="O396" t="n">
        <x:v>1354.88</x:v>
      </x:c>
      <x:c r="P396" t="n">
        <x:v>2177.59</x:v>
      </x:c>
      <x:c r="Q396" t="n">
        <x:v>61.64</x:v>
      </x:c>
      <x:c r="R396" t="inlineStr">
        <x:is>
          <x:t xml:space="preserve">Credit Card</x:t>
        </x:is>
      </x:c>
      <x:c r="S396" t="inlineStr">
        <x:is>
          <x:t xml:space="preserve">New</x:t>
        </x:is>
      </x:c>
    </x:row>
    <x:row r="397">
      <x:c r="A397" t="inlineStr">
        <x:is>
          <x:t xml:space="preserve">T100397</x:t>
        </x:is>
      </x:c>
      <x:c r="B397" s="10" t="n">
        <x:v>45627</x:v>
      </x:c>
      <x:c r="C397" t="inlineStr">
        <x:is>
          <x:t xml:space="preserve">S003</x:t>
        </x:is>
      </x:c>
      <x:c r="D397" t="inlineStr">
        <x:is>
          <x:t xml:space="preserve">Coral Gables</x:t>
        </x:is>
      </x:c>
      <x:c r="E397" t="inlineStr">
        <x:is>
          <x:t xml:space="preserve">Gabriel Samra</x:t>
        </x:is>
      </x:c>
      <x:c r="F397" t="inlineStr">
        <x:is>
          <x:t xml:space="preserve">GS004</x:t>
        </x:is>
      </x:c>
      <x:c r="G397" t="inlineStr">
        <x:is>
          <x:t xml:space="preserve">Blonde Conditioner</x:t>
        </x:is>
      </x:c>
      <x:c r="H397" t="inlineStr">
        <x:is>
          <x:t xml:space="preserve">Hair Care</x:t>
        </x:is>
      </x:c>
      <x:c r="I397" t="inlineStr">
        <x:is>
          <x:t xml:space="preserve">Lucas</x:t>
        </x:is>
      </x:c>
      <x:c r="J397" t="n">
        <x:v>156</x:v>
      </x:c>
      <x:c r="K397" t="n">
        <x:v>16.12</x:v>
      </x:c>
      <x:c r="L397" t="n">
        <x:v>37.57</x:v>
      </x:c>
      <x:c r="M397" t="n">
        <x:v>0</x:v>
      </x:c>
      <x:c r="N397" t="n">
        <x:v>5860.92</x:v>
      </x:c>
      <x:c r="O397" t="n">
        <x:v>2514.72</x:v>
      </x:c>
      <x:c r="P397" t="n">
        <x:v>3346.2</x:v>
      </x:c>
      <x:c r="Q397" t="n">
        <x:v>57.09</x:v>
      </x:c>
      <x:c r="R397" t="inlineStr">
        <x:is>
          <x:t xml:space="preserve">Cash</x:t>
        </x:is>
      </x:c>
      <x:c r="S397" t="inlineStr">
        <x:is>
          <x:t xml:space="preserve">Returning</x:t>
        </x:is>
      </x:c>
    </x:row>
    <x:row r="398">
      <x:c r="A398" t="inlineStr">
        <x:is>
          <x:t xml:space="preserve">T100398</x:t>
        </x:is>
      </x:c>
      <x:c r="B398" s="10" t="n">
        <x:v>45658</x:v>
      </x:c>
      <x:c r="C398" t="inlineStr">
        <x:is>
          <x:t xml:space="preserve">S003</x:t>
        </x:is>
      </x:c>
      <x:c r="D398" t="inlineStr">
        <x:is>
          <x:t xml:space="preserve">Coral Gables</x:t>
        </x:is>
      </x:c>
      <x:c r="E398" t="inlineStr">
        <x:is>
          <x:t xml:space="preserve">Gabriel Samra</x:t>
        </x:is>
      </x:c>
      <x:c r="F398" t="inlineStr">
        <x:is>
          <x:t xml:space="preserve">GS004</x:t>
        </x:is>
      </x:c>
      <x:c r="G398" t="inlineStr">
        <x:is>
          <x:t xml:space="preserve">Blonde Conditioner</x:t>
        </x:is>
      </x:c>
      <x:c r="H398" t="inlineStr">
        <x:is>
          <x:t xml:space="preserve">Hair Care</x:t>
        </x:is>
      </x:c>
      <x:c r="I398" t="inlineStr">
        <x:is>
          <x:t xml:space="preserve">Daniel</x:t>
        </x:is>
      </x:c>
      <x:c r="J398" t="n">
        <x:v>73</x:v>
      </x:c>
      <x:c r="K398" t="n">
        <x:v>33</x:v>
      </x:c>
      <x:c r="L398" t="n">
        <x:v>104.39</x:v>
      </x:c>
      <x:c r="M398" t="n">
        <x:v>0</x:v>
      </x:c>
      <x:c r="N398" t="n">
        <x:v>7620.47</x:v>
      </x:c>
      <x:c r="O398" t="n">
        <x:v>2409</x:v>
      </x:c>
      <x:c r="P398" t="n">
        <x:v>5211.47</x:v>
      </x:c>
      <x:c r="Q398" t="n">
        <x:v>68.39</x:v>
      </x:c>
      <x:c r="R398" t="inlineStr">
        <x:is>
          <x:t xml:space="preserve">Credit Card</x:t>
        </x:is>
      </x:c>
      <x:c r="S398" t="inlineStr">
        <x:is>
          <x:t xml:space="preserve">New</x:t>
        </x:is>
      </x:c>
    </x:row>
    <x:row r="399">
      <x:c r="A399" t="inlineStr">
        <x:is>
          <x:t xml:space="preserve">T100399</x:t>
        </x:is>
      </x:c>
      <x:c r="B399" s="10" t="n">
        <x:v>45689</x:v>
      </x:c>
      <x:c r="C399" t="inlineStr">
        <x:is>
          <x:t xml:space="preserve">S003</x:t>
        </x:is>
      </x:c>
      <x:c r="D399" t="inlineStr">
        <x:is>
          <x:t xml:space="preserve">Coral Gables</x:t>
        </x:is>
      </x:c>
      <x:c r="E399" t="inlineStr">
        <x:is>
          <x:t xml:space="preserve">Gabriel Samra</x:t>
        </x:is>
      </x:c>
      <x:c r="F399" t="inlineStr">
        <x:is>
          <x:t xml:space="preserve">GS004</x:t>
        </x:is>
      </x:c>
      <x:c r="G399" t="inlineStr">
        <x:is>
          <x:t xml:space="preserve">Blonde Conditioner</x:t>
        </x:is>
      </x:c>
      <x:c r="H399" t="inlineStr">
        <x:is>
          <x:t xml:space="preserve">Hair Care</x:t>
        </x:is>
      </x:c>
      <x:c r="I399" t="inlineStr">
        <x:is>
          <x:t xml:space="preserve">Olivia</x:t>
        </x:is>
      </x:c>
      <x:c r="J399" t="n">
        <x:v>179</x:v>
      </x:c>
      <x:c r="K399" t="n">
        <x:v>25.01</x:v>
      </x:c>
      <x:c r="L399" t="n">
        <x:v>69.73</x:v>
      </x:c>
      <x:c r="M399" t="n">
        <x:v>5</x:v>
      </x:c>
      <x:c r="N399" t="n">
        <x:v>12481.67</x:v>
      </x:c>
      <x:c r="O399" t="n">
        <x:v>4476.79</x:v>
      </x:c>
      <x:c r="P399" t="n">
        <x:v>8004.88</x:v>
      </x:c>
      <x:c r="Q399" t="n">
        <x:v>64.13</x:v>
      </x:c>
      <x:c r="R399" t="inlineStr">
        <x:is>
          <x:t xml:space="preserve">Credit Card</x:t>
        </x:is>
      </x:c>
      <x:c r="S399" t="inlineStr">
        <x:is>
          <x:t xml:space="preserve">New</x:t>
        </x:is>
      </x:c>
    </x:row>
    <x:row r="400">
      <x:c r="A400" t="inlineStr">
        <x:is>
          <x:t xml:space="preserve">T100400</x:t>
        </x:is>
      </x:c>
      <x:c r="B400" s="10" t="n">
        <x:v>45717</x:v>
      </x:c>
      <x:c r="C400" t="inlineStr">
        <x:is>
          <x:t xml:space="preserve">S003</x:t>
        </x:is>
      </x:c>
      <x:c r="D400" t="inlineStr">
        <x:is>
          <x:t xml:space="preserve">Coral Gables</x:t>
        </x:is>
      </x:c>
      <x:c r="E400" t="inlineStr">
        <x:is>
          <x:t xml:space="preserve">Gabriel Samra</x:t>
        </x:is>
      </x:c>
      <x:c r="F400" t="inlineStr">
        <x:is>
          <x:t xml:space="preserve">GS004</x:t>
        </x:is>
      </x:c>
      <x:c r="G400" t="inlineStr">
        <x:is>
          <x:t xml:space="preserve">Blonde Conditioner</x:t>
        </x:is>
      </x:c>
      <x:c r="H400" t="inlineStr">
        <x:is>
          <x:t xml:space="preserve">Hair Care</x:t>
        </x:is>
      </x:c>
      <x:c r="I400" t="inlineStr">
        <x:is>
          <x:t xml:space="preserve">Daniel</x:t>
        </x:is>
      </x:c>
      <x:c r="J400" t="n">
        <x:v>76</x:v>
      </x:c>
      <x:c r="K400" t="n">
        <x:v>17.68</x:v>
      </x:c>
      <x:c r="L400" t="n">
        <x:v>49.03</x:v>
      </x:c>
      <x:c r="M400" t="n">
        <x:v>0</x:v>
      </x:c>
      <x:c r="N400" t="n">
        <x:v>3726.28</x:v>
      </x:c>
      <x:c r="O400" t="n">
        <x:v>1343.68</x:v>
      </x:c>
      <x:c r="P400" t="n">
        <x:v>2382.6</x:v>
      </x:c>
      <x:c r="Q400" t="n">
        <x:v>63.94</x:v>
      </x:c>
      <x:c r="R400" t="inlineStr">
        <x:is>
          <x:t xml:space="preserve">Cash</x:t>
        </x:is>
      </x:c>
      <x:c r="S400" t="inlineStr">
        <x:is>
          <x:t xml:space="preserve">Returning</x:t>
        </x:is>
      </x:c>
    </x:row>
    <x:row r="401">
      <x:c r="A401" t="inlineStr">
        <x:is>
          <x:t xml:space="preserve">T100401</x:t>
        </x:is>
      </x:c>
      <x:c r="B401" s="10" t="n">
        <x:v>45748</x:v>
      </x:c>
      <x:c r="C401" t="inlineStr">
        <x:is>
          <x:t xml:space="preserve">S003</x:t>
        </x:is>
      </x:c>
      <x:c r="D401" t="inlineStr">
        <x:is>
          <x:t xml:space="preserve">Coral Gables</x:t>
        </x:is>
      </x:c>
      <x:c r="E401" t="inlineStr">
        <x:is>
          <x:t xml:space="preserve">Gabriel Samra</x:t>
        </x:is>
      </x:c>
      <x:c r="F401" t="inlineStr">
        <x:is>
          <x:t xml:space="preserve">GS004</x:t>
        </x:is>
      </x:c>
      <x:c r="G401" t="inlineStr">
        <x:is>
          <x:t xml:space="preserve">Blonde Conditioner</x:t>
        </x:is>
      </x:c>
      <x:c r="H401" t="inlineStr">
        <x:is>
          <x:t xml:space="preserve">Hair Care</x:t>
        </x:is>
      </x:c>
      <x:c r="I401" t="inlineStr">
        <x:is>
          <x:t xml:space="preserve">Lucas</x:t>
        </x:is>
      </x:c>
      <x:c r="J401" t="n">
        <x:v>80</x:v>
      </x:c>
      <x:c r="K401" t="n">
        <x:v>32.89</x:v>
      </x:c>
      <x:c r="L401" t="n">
        <x:v>111.48</x:v>
      </x:c>
      <x:c r="M401" t="n">
        <x:v>10</x:v>
      </x:c>
      <x:c r="N401" t="n">
        <x:v>8918.4</x:v>
      </x:c>
      <x:c r="O401" t="n">
        <x:v>2631.2</x:v>
      </x:c>
      <x:c r="P401" t="n">
        <x:v>6287.2</x:v>
      </x:c>
      <x:c r="Q401" t="n">
        <x:v>70.5</x:v>
      </x:c>
      <x:c r="R401" t="inlineStr">
        <x:is>
          <x:t xml:space="preserve">Cash</x:t>
        </x:is>
      </x:c>
      <x:c r="S401" t="inlineStr">
        <x:is>
          <x:t xml:space="preserve">New</x:t>
        </x:is>
      </x:c>
    </x:row>
    <x:row r="402">
      <x:c r="A402" t="inlineStr">
        <x:is>
          <x:t xml:space="preserve">T100402</x:t>
        </x:is>
      </x:c>
      <x:c r="B402" s="10" t="n">
        <x:v>45778</x:v>
      </x:c>
      <x:c r="C402" t="inlineStr">
        <x:is>
          <x:t xml:space="preserve">S003</x:t>
        </x:is>
      </x:c>
      <x:c r="D402" t="inlineStr">
        <x:is>
          <x:t xml:space="preserve">Coral Gables</x:t>
        </x:is>
      </x:c>
      <x:c r="E402" t="inlineStr">
        <x:is>
          <x:t xml:space="preserve">Gabriel Samra</x:t>
        </x:is>
      </x:c>
      <x:c r="F402" t="inlineStr">
        <x:is>
          <x:t xml:space="preserve">GS004</x:t>
        </x:is>
      </x:c>
      <x:c r="G402" t="inlineStr">
        <x:is>
          <x:t xml:space="preserve">Blonde Conditioner</x:t>
        </x:is>
      </x:c>
      <x:c r="H402" t="inlineStr">
        <x:is>
          <x:t xml:space="preserve">Hair Care</x:t>
        </x:is>
      </x:c>
      <x:c r="I402" t="inlineStr">
        <x:is>
          <x:t xml:space="preserve">Olivia</x:t>
        </x:is>
      </x:c>
      <x:c r="J402" t="n">
        <x:v>73</x:v>
      </x:c>
      <x:c r="K402" t="n">
        <x:v>20.47</x:v>
      </x:c>
      <x:c r="L402" t="n">
        <x:v>66.93000000000001</x:v>
      </x:c>
      <x:c r="M402" t="n">
        <x:v>5</x:v>
      </x:c>
      <x:c r="N402" t="n">
        <x:v>4885.89</x:v>
      </x:c>
      <x:c r="O402" t="n">
        <x:v>1494.31</x:v>
      </x:c>
      <x:c r="P402" t="n">
        <x:v>3391.58</x:v>
      </x:c>
      <x:c r="Q402" t="n">
        <x:v>69.42</x:v>
      </x:c>
      <x:c r="R402" t="inlineStr">
        <x:is>
          <x:t xml:space="preserve">Credit Card</x:t>
        </x:is>
      </x:c>
      <x:c r="S402" t="inlineStr">
        <x:is>
          <x:t xml:space="preserve">Returning</x:t>
        </x:is>
      </x:c>
    </x:row>
    <x:row r="403">
      <x:c r="A403" t="inlineStr">
        <x:is>
          <x:t xml:space="preserve">T100403</x:t>
        </x:is>
      </x:c>
      <x:c r="B403" s="10" t="n">
        <x:v>45809</x:v>
      </x:c>
      <x:c r="C403" t="inlineStr">
        <x:is>
          <x:t xml:space="preserve">S003</x:t>
        </x:is>
      </x:c>
      <x:c r="D403" t="inlineStr">
        <x:is>
          <x:t xml:space="preserve">Coral Gables</x:t>
        </x:is>
      </x:c>
      <x:c r="E403" t="inlineStr">
        <x:is>
          <x:t xml:space="preserve">Gabriel Samra</x:t>
        </x:is>
      </x:c>
      <x:c r="F403" t="inlineStr">
        <x:is>
          <x:t xml:space="preserve">GS004</x:t>
        </x:is>
      </x:c>
      <x:c r="G403" t="inlineStr">
        <x:is>
          <x:t xml:space="preserve">Blonde Conditioner</x:t>
        </x:is>
      </x:c>
      <x:c r="H403" t="inlineStr">
        <x:is>
          <x:t xml:space="preserve">Hair Care</x:t>
        </x:is>
      </x:c>
      <x:c r="I403" t="inlineStr">
        <x:is>
          <x:t xml:space="preserve">Emma</x:t>
        </x:is>
      </x:c>
      <x:c r="J403" t="n">
        <x:v>102</x:v>
      </x:c>
      <x:c r="K403" t="n">
        <x:v>29.25</x:v>
      </x:c>
      <x:c r="L403" t="n">
        <x:v>60.42</x:v>
      </x:c>
      <x:c r="M403" t="n">
        <x:v>0</x:v>
      </x:c>
      <x:c r="N403" t="n">
        <x:v>6162.84</x:v>
      </x:c>
      <x:c r="O403" t="n">
        <x:v>2983.5</x:v>
      </x:c>
      <x:c r="P403" t="n">
        <x:v>3179.34</x:v>
      </x:c>
      <x:c r="Q403" t="n">
        <x:v>51.59</x:v>
      </x:c>
      <x:c r="R403" t="inlineStr">
        <x:is>
          <x:t xml:space="preserve">Apple Pay</x:t>
        </x:is>
      </x:c>
      <x:c r="S403" t="inlineStr">
        <x:is>
          <x:t xml:space="preserve">New</x:t>
        </x:is>
      </x:c>
    </x:row>
    <x:row r="404">
      <x:c r="A404" t="inlineStr">
        <x:is>
          <x:t xml:space="preserve">T100404</x:t>
        </x:is>
      </x:c>
      <x:c r="B404" s="10" t="n">
        <x:v>45292</x:v>
      </x:c>
      <x:c r="C404" t="inlineStr">
        <x:is>
          <x:t xml:space="preserve">S003</x:t>
        </x:is>
      </x:c>
      <x:c r="D404" t="inlineStr">
        <x:is>
          <x:t xml:space="preserve">Coral Gables</x:t>
        </x:is>
      </x:c>
      <x:c r="E404" t="inlineStr">
        <x:is>
          <x:t xml:space="preserve">Gabriel Samra</x:t>
        </x:is>
      </x:c>
      <x:c r="F404" t="inlineStr">
        <x:is>
          <x:t xml:space="preserve">GS005</x:t>
        </x:is>
      </x:c>
      <x:c r="G404" t="inlineStr">
        <x:is>
          <x:t xml:space="preserve">Hair Oil Serum</x:t>
        </x:is>
      </x:c>
      <x:c r="H404" t="inlineStr">
        <x:is>
          <x:t xml:space="preserve">Styling</x:t>
        </x:is>
      </x:c>
      <x:c r="I404" t="inlineStr">
        <x:is>
          <x:t xml:space="preserve">Lucas</x:t>
        </x:is>
      </x:c>
      <x:c r="J404" t="n">
        <x:v>130</x:v>
      </x:c>
      <x:c r="K404" t="n">
        <x:v>29.1</x:v>
      </x:c>
      <x:c r="L404" t="n">
        <x:v>58.58</x:v>
      </x:c>
      <x:c r="M404" t="n">
        <x:v>0</x:v>
      </x:c>
      <x:c r="N404" t="n">
        <x:v>7615.4</x:v>
      </x:c>
      <x:c r="O404" t="n">
        <x:v>3783</x:v>
      </x:c>
      <x:c r="P404" t="n">
        <x:v>3832.4</x:v>
      </x:c>
      <x:c r="Q404" t="n">
        <x:v>50.32</x:v>
      </x:c>
      <x:c r="R404" t="inlineStr">
        <x:is>
          <x:t xml:space="preserve">Credit Card</x:t>
        </x:is>
      </x:c>
      <x:c r="S404" t="inlineStr">
        <x:is>
          <x:t xml:space="preserve">Returning</x:t>
        </x:is>
      </x:c>
    </x:row>
    <x:row r="405">
      <x:c r="A405" t="inlineStr">
        <x:is>
          <x:t xml:space="preserve">T100405</x:t>
        </x:is>
      </x:c>
      <x:c r="B405" s="10" t="n">
        <x:v>45323</x:v>
      </x:c>
      <x:c r="C405" t="inlineStr">
        <x:is>
          <x:t xml:space="preserve">S003</x:t>
        </x:is>
      </x:c>
      <x:c r="D405" t="inlineStr">
        <x:is>
          <x:t xml:space="preserve">Coral Gables</x:t>
        </x:is>
      </x:c>
      <x:c r="E405" t="inlineStr">
        <x:is>
          <x:t xml:space="preserve">Gabriel Samra</x:t>
        </x:is>
      </x:c>
      <x:c r="F405" t="inlineStr">
        <x:is>
          <x:t xml:space="preserve">GS005</x:t>
        </x:is>
      </x:c>
      <x:c r="G405" t="inlineStr">
        <x:is>
          <x:t xml:space="preserve">Hair Oil Serum</x:t>
        </x:is>
      </x:c>
      <x:c r="H405" t="inlineStr">
        <x:is>
          <x:t xml:space="preserve">Styling</x:t>
        </x:is>
      </x:c>
      <x:c r="I405" t="inlineStr">
        <x:is>
          <x:t xml:space="preserve">Lucas</x:t>
        </x:is>
      </x:c>
      <x:c r="J405" t="n">
        <x:v>45</x:v>
      </x:c>
      <x:c r="K405" t="n">
        <x:v>22.57</x:v>
      </x:c>
      <x:c r="L405" t="n">
        <x:v>57.41</x:v>
      </x:c>
      <x:c r="M405" t="n">
        <x:v>0</x:v>
      </x:c>
      <x:c r="N405" t="n">
        <x:v>2583.45</x:v>
      </x:c>
      <x:c r="O405" t="n">
        <x:v>1015.65</x:v>
      </x:c>
      <x:c r="P405" t="n">
        <x:v>1567.8</x:v>
      </x:c>
      <x:c r="Q405" t="n">
        <x:v>60.69</x:v>
      </x:c>
      <x:c r="R405" t="inlineStr">
        <x:is>
          <x:t xml:space="preserve">Cash</x:t>
        </x:is>
      </x:c>
      <x:c r="S405" t="inlineStr">
        <x:is>
          <x:t xml:space="preserve">New</x:t>
        </x:is>
      </x:c>
    </x:row>
    <x:row r="406">
      <x:c r="A406" t="inlineStr">
        <x:is>
          <x:t xml:space="preserve">T100406</x:t>
        </x:is>
      </x:c>
      <x:c r="B406" s="10" t="n">
        <x:v>45352</x:v>
      </x:c>
      <x:c r="C406" t="inlineStr">
        <x:is>
          <x:t xml:space="preserve">S003</x:t>
        </x:is>
      </x:c>
      <x:c r="D406" t="inlineStr">
        <x:is>
          <x:t xml:space="preserve">Coral Gables</x:t>
        </x:is>
      </x:c>
      <x:c r="E406" t="inlineStr">
        <x:is>
          <x:t xml:space="preserve">Gabriel Samra</x:t>
        </x:is>
      </x:c>
      <x:c r="F406" t="inlineStr">
        <x:is>
          <x:t xml:space="preserve">GS005</x:t>
        </x:is>
      </x:c>
      <x:c r="G406" t="inlineStr">
        <x:is>
          <x:t xml:space="preserve">Hair Oil Serum</x:t>
        </x:is>
      </x:c>
      <x:c r="H406" t="inlineStr">
        <x:is>
          <x:t xml:space="preserve">Styling</x:t>
        </x:is>
      </x:c>
      <x:c r="I406" t="inlineStr">
        <x:is>
          <x:t xml:space="preserve">Lucas</x:t>
        </x:is>
      </x:c>
      <x:c r="J406" t="n">
        <x:v>57</x:v>
      </x:c>
      <x:c r="K406" t="n">
        <x:v>27.91</x:v>
      </x:c>
      <x:c r="L406" t="n">
        <x:v>86.86</x:v>
      </x:c>
      <x:c r="M406" t="n">
        <x:v>0</x:v>
      </x:c>
      <x:c r="N406" t="n">
        <x:v>4951.02</x:v>
      </x:c>
      <x:c r="O406" t="n">
        <x:v>1590.87</x:v>
      </x:c>
      <x:c r="P406" t="n">
        <x:v>3360.15</x:v>
      </x:c>
      <x:c r="Q406" t="n">
        <x:v>67.87</x:v>
      </x:c>
      <x:c r="R406" t="inlineStr">
        <x:is>
          <x:t xml:space="preserve">Cash</x:t>
        </x:is>
      </x:c>
      <x:c r="S406" t="inlineStr">
        <x:is>
          <x:t xml:space="preserve">Returning</x:t>
        </x:is>
      </x:c>
    </x:row>
    <x:row r="407">
      <x:c r="A407" t="inlineStr">
        <x:is>
          <x:t xml:space="preserve">T100407</x:t>
        </x:is>
      </x:c>
      <x:c r="B407" s="10" t="n">
        <x:v>45383</x:v>
      </x:c>
      <x:c r="C407" t="inlineStr">
        <x:is>
          <x:t xml:space="preserve">S003</x:t>
        </x:is>
      </x:c>
      <x:c r="D407" t="inlineStr">
        <x:is>
          <x:t xml:space="preserve">Coral Gables</x:t>
        </x:is>
      </x:c>
      <x:c r="E407" t="inlineStr">
        <x:is>
          <x:t xml:space="preserve">Gabriel Samra</x:t>
        </x:is>
      </x:c>
      <x:c r="F407" t="inlineStr">
        <x:is>
          <x:t xml:space="preserve">GS005</x:t>
        </x:is>
      </x:c>
      <x:c r="G407" t="inlineStr">
        <x:is>
          <x:t xml:space="preserve">Hair Oil Serum</x:t>
        </x:is>
      </x:c>
      <x:c r="H407" t="inlineStr">
        <x:is>
          <x:t xml:space="preserve">Styling</x:t>
        </x:is>
      </x:c>
      <x:c r="I407" t="inlineStr">
        <x:is>
          <x:t xml:space="preserve">Lucas</x:t>
        </x:is>
      </x:c>
      <x:c r="J407" t="n">
        <x:v>58</x:v>
      </x:c>
      <x:c r="K407" t="n">
        <x:v>24.72</x:v>
      </x:c>
      <x:c r="L407" t="n">
        <x:v>57.15</x:v>
      </x:c>
      <x:c r="M407" t="n">
        <x:v>0</x:v>
      </x:c>
      <x:c r="N407" t="n">
        <x:v>3314.7</x:v>
      </x:c>
      <x:c r="O407" t="n">
        <x:v>1433.76</x:v>
      </x:c>
      <x:c r="P407" t="n">
        <x:v>1880.94</x:v>
      </x:c>
      <x:c r="Q407" t="n">
        <x:v>56.75</x:v>
      </x:c>
      <x:c r="R407" t="inlineStr">
        <x:is>
          <x:t xml:space="preserve">Credit Card</x:t>
        </x:is>
      </x:c>
      <x:c r="S407" t="inlineStr">
        <x:is>
          <x:t xml:space="preserve">New</x:t>
        </x:is>
      </x:c>
    </x:row>
    <x:row r="408">
      <x:c r="A408" t="inlineStr">
        <x:is>
          <x:t xml:space="preserve">T100408</x:t>
        </x:is>
      </x:c>
      <x:c r="B408" s="10" t="n">
        <x:v>45413</x:v>
      </x:c>
      <x:c r="C408" t="inlineStr">
        <x:is>
          <x:t xml:space="preserve">S003</x:t>
        </x:is>
      </x:c>
      <x:c r="D408" t="inlineStr">
        <x:is>
          <x:t xml:space="preserve">Coral Gables</x:t>
        </x:is>
      </x:c>
      <x:c r="E408" t="inlineStr">
        <x:is>
          <x:t xml:space="preserve">Gabriel Samra</x:t>
        </x:is>
      </x:c>
      <x:c r="F408" t="inlineStr">
        <x:is>
          <x:t xml:space="preserve">GS005</x:t>
        </x:is>
      </x:c>
      <x:c r="G408" t="inlineStr">
        <x:is>
          <x:t xml:space="preserve">Hair Oil Serum</x:t>
        </x:is>
      </x:c>
      <x:c r="H408" t="inlineStr">
        <x:is>
          <x:t xml:space="preserve">Styling</x:t>
        </x:is>
      </x:c>
      <x:c r="I408" t="inlineStr">
        <x:is>
          <x:t xml:space="preserve">Lucas</x:t>
        </x:is>
      </x:c>
      <x:c r="J408" t="n">
        <x:v>51</x:v>
      </x:c>
      <x:c r="K408" t="n">
        <x:v>33.33</x:v>
      </x:c>
      <x:c r="L408" t="n">
        <x:v>93.8</x:v>
      </x:c>
      <x:c r="M408" t="n">
        <x:v>0</x:v>
      </x:c>
      <x:c r="N408" t="n">
        <x:v>4783.8</x:v>
      </x:c>
      <x:c r="O408" t="n">
        <x:v>1699.83</x:v>
      </x:c>
      <x:c r="P408" t="n">
        <x:v>3083.97</x:v>
      </x:c>
      <x:c r="Q408" t="n">
        <x:v>64.47</x:v>
      </x:c>
      <x:c r="R408" t="inlineStr">
        <x:is>
          <x:t xml:space="preserve">Credit Card</x:t>
        </x:is>
      </x:c>
      <x:c r="S408" t="inlineStr">
        <x:is>
          <x:t xml:space="preserve">Returning</x:t>
        </x:is>
      </x:c>
    </x:row>
    <x:row r="409">
      <x:c r="A409" t="inlineStr">
        <x:is>
          <x:t xml:space="preserve">T100409</x:t>
        </x:is>
      </x:c>
      <x:c r="B409" s="10" t="n">
        <x:v>45444</x:v>
      </x:c>
      <x:c r="C409" t="inlineStr">
        <x:is>
          <x:t xml:space="preserve">S003</x:t>
        </x:is>
      </x:c>
      <x:c r="D409" t="inlineStr">
        <x:is>
          <x:t xml:space="preserve">Coral Gables</x:t>
        </x:is>
      </x:c>
      <x:c r="E409" t="inlineStr">
        <x:is>
          <x:t xml:space="preserve">Gabriel Samra</x:t>
        </x:is>
      </x:c>
      <x:c r="F409" t="inlineStr">
        <x:is>
          <x:t xml:space="preserve">GS005</x:t>
        </x:is>
      </x:c>
      <x:c r="G409" t="inlineStr">
        <x:is>
          <x:t xml:space="preserve">Hair Oil Serum</x:t>
        </x:is>
      </x:c>
      <x:c r="H409" t="inlineStr">
        <x:is>
          <x:t xml:space="preserve">Styling</x:t>
        </x:is>
      </x:c>
      <x:c r="I409" t="inlineStr">
        <x:is>
          <x:t xml:space="preserve">Olivia</x:t>
        </x:is>
      </x:c>
      <x:c r="J409" t="n">
        <x:v>62</x:v>
      </x:c>
      <x:c r="K409" t="n">
        <x:v>19.7</x:v>
      </x:c>
      <x:c r="L409" t="n">
        <x:v>44.87</x:v>
      </x:c>
      <x:c r="M409" t="n">
        <x:v>0</x:v>
      </x:c>
      <x:c r="N409" t="n">
        <x:v>2781.94</x:v>
      </x:c>
      <x:c r="O409" t="n">
        <x:v>1221.4</x:v>
      </x:c>
      <x:c r="P409" t="n">
        <x:v>1560.54</x:v>
      </x:c>
      <x:c r="Q409" t="n">
        <x:v>56.1</x:v>
      </x:c>
      <x:c r="R409" t="inlineStr">
        <x:is>
          <x:t xml:space="preserve">Credit Card</x:t>
        </x:is>
      </x:c>
      <x:c r="S409" t="inlineStr">
        <x:is>
          <x:t xml:space="preserve">Returning</x:t>
        </x:is>
      </x:c>
    </x:row>
    <x:row r="410">
      <x:c r="A410" t="inlineStr">
        <x:is>
          <x:t xml:space="preserve">T100410</x:t>
        </x:is>
      </x:c>
      <x:c r="B410" s="10" t="n">
        <x:v>45474</x:v>
      </x:c>
      <x:c r="C410" t="inlineStr">
        <x:is>
          <x:t xml:space="preserve">S003</x:t>
        </x:is>
      </x:c>
      <x:c r="D410" t="inlineStr">
        <x:is>
          <x:t xml:space="preserve">Coral Gables</x:t>
        </x:is>
      </x:c>
      <x:c r="E410" t="inlineStr">
        <x:is>
          <x:t xml:space="preserve">Gabriel Samra</x:t>
        </x:is>
      </x:c>
      <x:c r="F410" t="inlineStr">
        <x:is>
          <x:t xml:space="preserve">GS005</x:t>
        </x:is>
      </x:c>
      <x:c r="G410" t="inlineStr">
        <x:is>
          <x:t xml:space="preserve">Hair Oil Serum</x:t>
        </x:is>
      </x:c>
      <x:c r="H410" t="inlineStr">
        <x:is>
          <x:t xml:space="preserve">Styling</x:t>
        </x:is>
      </x:c>
      <x:c r="I410" t="inlineStr">
        <x:is>
          <x:t xml:space="preserve">Sophia</x:t>
        </x:is>
      </x:c>
      <x:c r="J410" t="n">
        <x:v>75</x:v>
      </x:c>
      <x:c r="K410" t="n">
        <x:v>31.83</x:v>
      </x:c>
      <x:c r="L410" t="n">
        <x:v>92.70999999999999</x:v>
      </x:c>
      <x:c r="M410" t="n">
        <x:v>0</x:v>
      </x:c>
      <x:c r="N410" t="n">
        <x:v>6953.25</x:v>
      </x:c>
      <x:c r="O410" t="n">
        <x:v>2387.25</x:v>
      </x:c>
      <x:c r="P410" t="n">
        <x:v>4566</x:v>
      </x:c>
      <x:c r="Q410" t="n">
        <x:v>65.67</x:v>
      </x:c>
      <x:c r="R410" t="inlineStr">
        <x:is>
          <x:t xml:space="preserve">Apple Pay</x:t>
        </x:is>
      </x:c>
      <x:c r="S410" t="inlineStr">
        <x:is>
          <x:t xml:space="preserve">New</x:t>
        </x:is>
      </x:c>
    </x:row>
    <x:row r="411">
      <x:c r="A411" t="inlineStr">
        <x:is>
          <x:t xml:space="preserve">T100411</x:t>
        </x:is>
      </x:c>
      <x:c r="B411" s="10" t="n">
        <x:v>45505</x:v>
      </x:c>
      <x:c r="C411" t="inlineStr">
        <x:is>
          <x:t xml:space="preserve">S003</x:t>
        </x:is>
      </x:c>
      <x:c r="D411" t="inlineStr">
        <x:is>
          <x:t xml:space="preserve">Coral Gables</x:t>
        </x:is>
      </x:c>
      <x:c r="E411" t="inlineStr">
        <x:is>
          <x:t xml:space="preserve">Gabriel Samra</x:t>
        </x:is>
      </x:c>
      <x:c r="F411" t="inlineStr">
        <x:is>
          <x:t xml:space="preserve">GS005</x:t>
        </x:is>
      </x:c>
      <x:c r="G411" t="inlineStr">
        <x:is>
          <x:t xml:space="preserve">Hair Oil Serum</x:t>
        </x:is>
      </x:c>
      <x:c r="H411" t="inlineStr">
        <x:is>
          <x:t xml:space="preserve">Styling</x:t>
        </x:is>
      </x:c>
      <x:c r="I411" t="inlineStr">
        <x:is>
          <x:t xml:space="preserve">Sophia</x:t>
        </x:is>
      </x:c>
      <x:c r="J411" t="n">
        <x:v>77</x:v>
      </x:c>
      <x:c r="K411" t="n">
        <x:v>27.91</x:v>
      </x:c>
      <x:c r="L411" t="n">
        <x:v>90.77</x:v>
      </x:c>
      <x:c r="M411" t="n">
        <x:v>0</x:v>
      </x:c>
      <x:c r="N411" t="n">
        <x:v>6989.29</x:v>
      </x:c>
      <x:c r="O411" t="n">
        <x:v>2149.07</x:v>
      </x:c>
      <x:c r="P411" t="n">
        <x:v>4840.22</x:v>
      </x:c>
      <x:c r="Q411" t="n">
        <x:v>69.25</x:v>
      </x:c>
      <x:c r="R411" t="inlineStr">
        <x:is>
          <x:t xml:space="preserve">Apple Pay</x:t>
        </x:is>
      </x:c>
      <x:c r="S411" t="inlineStr">
        <x:is>
          <x:t xml:space="preserve">Returning</x:t>
        </x:is>
      </x:c>
    </x:row>
    <x:row r="412">
      <x:c r="A412" t="inlineStr">
        <x:is>
          <x:t xml:space="preserve">T100412</x:t>
        </x:is>
      </x:c>
      <x:c r="B412" s="10" t="n">
        <x:v>45536</x:v>
      </x:c>
      <x:c r="C412" t="inlineStr">
        <x:is>
          <x:t xml:space="preserve">S003</x:t>
        </x:is>
      </x:c>
      <x:c r="D412" t="inlineStr">
        <x:is>
          <x:t xml:space="preserve">Coral Gables</x:t>
        </x:is>
      </x:c>
      <x:c r="E412" t="inlineStr">
        <x:is>
          <x:t xml:space="preserve">Gabriel Samra</x:t>
        </x:is>
      </x:c>
      <x:c r="F412" t="inlineStr">
        <x:is>
          <x:t xml:space="preserve">GS005</x:t>
        </x:is>
      </x:c>
      <x:c r="G412" t="inlineStr">
        <x:is>
          <x:t xml:space="preserve">Hair Oil Serum</x:t>
        </x:is>
      </x:c>
      <x:c r="H412" t="inlineStr">
        <x:is>
          <x:t xml:space="preserve">Styling</x:t>
        </x:is>
      </x:c>
      <x:c r="I412" t="inlineStr">
        <x:is>
          <x:t xml:space="preserve">Daniel</x:t>
        </x:is>
      </x:c>
      <x:c r="J412" t="n">
        <x:v>68</x:v>
      </x:c>
      <x:c r="K412" t="n">
        <x:v>34.61</x:v>
      </x:c>
      <x:c r="L412" t="n">
        <x:v>119.24</x:v>
      </x:c>
      <x:c r="M412" t="n">
        <x:v>5</x:v>
      </x:c>
      <x:c r="N412" t="n">
        <x:v>8108.32</x:v>
      </x:c>
      <x:c r="O412" t="n">
        <x:v>2353.48</x:v>
      </x:c>
      <x:c r="P412" t="n">
        <x:v>5754.84</x:v>
      </x:c>
      <x:c r="Q412" t="n">
        <x:v>70.97</x:v>
      </x:c>
      <x:c r="R412" t="inlineStr">
        <x:is>
          <x:t xml:space="preserve">Cash</x:t>
        </x:is>
      </x:c>
      <x:c r="S412" t="inlineStr">
        <x:is>
          <x:t xml:space="preserve">Returning</x:t>
        </x:is>
      </x:c>
    </x:row>
    <x:row r="413">
      <x:c r="A413" t="inlineStr">
        <x:is>
          <x:t xml:space="preserve">T100413</x:t>
        </x:is>
      </x:c>
      <x:c r="B413" s="10" t="n">
        <x:v>45566</x:v>
      </x:c>
      <x:c r="C413" t="inlineStr">
        <x:is>
          <x:t xml:space="preserve">S003</x:t>
        </x:is>
      </x:c>
      <x:c r="D413" t="inlineStr">
        <x:is>
          <x:t xml:space="preserve">Coral Gables</x:t>
        </x:is>
      </x:c>
      <x:c r="E413" t="inlineStr">
        <x:is>
          <x:t xml:space="preserve">Gabriel Samra</x:t>
        </x:is>
      </x:c>
      <x:c r="F413" t="inlineStr">
        <x:is>
          <x:t xml:space="preserve">GS005</x:t>
        </x:is>
      </x:c>
      <x:c r="G413" t="inlineStr">
        <x:is>
          <x:t xml:space="preserve">Hair Oil Serum</x:t>
        </x:is>
      </x:c>
      <x:c r="H413" t="inlineStr">
        <x:is>
          <x:t xml:space="preserve">Styling</x:t>
        </x:is>
      </x:c>
      <x:c r="I413" t="inlineStr">
        <x:is>
          <x:t xml:space="preserve">Emma</x:t>
        </x:is>
      </x:c>
      <x:c r="J413" t="n">
        <x:v>76</x:v>
      </x:c>
      <x:c r="K413" t="n">
        <x:v>13.05</x:v>
      </x:c>
      <x:c r="L413" t="n">
        <x:v>44.9</x:v>
      </x:c>
      <x:c r="M413" t="n">
        <x:v>0</x:v>
      </x:c>
      <x:c r="N413" t="n">
        <x:v>3412.4</x:v>
      </x:c>
      <x:c r="O413" t="n">
        <x:v>991.8</x:v>
      </x:c>
      <x:c r="P413" t="n">
        <x:v>2420.6</x:v>
      </x:c>
      <x:c r="Q413" t="n">
        <x:v>70.94</x:v>
      </x:c>
      <x:c r="R413" t="inlineStr">
        <x:is>
          <x:t xml:space="preserve">Apple Pay</x:t>
        </x:is>
      </x:c>
      <x:c r="S413" t="inlineStr">
        <x:is>
          <x:t xml:space="preserve">Returning</x:t>
        </x:is>
      </x:c>
    </x:row>
    <x:row r="414">
      <x:c r="A414" t="inlineStr">
        <x:is>
          <x:t xml:space="preserve">T100414</x:t>
        </x:is>
      </x:c>
      <x:c r="B414" s="10" t="n">
        <x:v>45597</x:v>
      </x:c>
      <x:c r="C414" t="inlineStr">
        <x:is>
          <x:t xml:space="preserve">S003</x:t>
        </x:is>
      </x:c>
      <x:c r="D414" t="inlineStr">
        <x:is>
          <x:t xml:space="preserve">Coral Gables</x:t>
        </x:is>
      </x:c>
      <x:c r="E414" t="inlineStr">
        <x:is>
          <x:t xml:space="preserve">Gabriel Samra</x:t>
        </x:is>
      </x:c>
      <x:c r="F414" t="inlineStr">
        <x:is>
          <x:t xml:space="preserve">GS005</x:t>
        </x:is>
      </x:c>
      <x:c r="G414" t="inlineStr">
        <x:is>
          <x:t xml:space="preserve">Hair Oil Serum</x:t>
        </x:is>
      </x:c>
      <x:c r="H414" t="inlineStr">
        <x:is>
          <x:t xml:space="preserve">Styling</x:t>
        </x:is>
      </x:c>
      <x:c r="I414" t="inlineStr">
        <x:is>
          <x:t xml:space="preserve">Olivia</x:t>
        </x:is>
      </x:c>
      <x:c r="J414" t="n">
        <x:v>103</x:v>
      </x:c>
      <x:c r="K414" t="n">
        <x:v>28.54</x:v>
      </x:c>
      <x:c r="L414" t="n">
        <x:v>69.09</x:v>
      </x:c>
      <x:c r="M414" t="n">
        <x:v>5</x:v>
      </x:c>
      <x:c r="N414" t="n">
        <x:v>7116.27</x:v>
      </x:c>
      <x:c r="O414" t="n">
        <x:v>2939.62</x:v>
      </x:c>
      <x:c r="P414" t="n">
        <x:v>4176.65</x:v>
      </x:c>
      <x:c r="Q414" t="n">
        <x:v>58.69</x:v>
      </x:c>
      <x:c r="R414" t="inlineStr">
        <x:is>
          <x:t xml:space="preserve">Apple Pay</x:t>
        </x:is>
      </x:c>
      <x:c r="S414" t="inlineStr">
        <x:is>
          <x:t xml:space="preserve">New</x:t>
        </x:is>
      </x:c>
    </x:row>
    <x:row r="415">
      <x:c r="A415" t="inlineStr">
        <x:is>
          <x:t xml:space="preserve">T100415</x:t>
        </x:is>
      </x:c>
      <x:c r="B415" s="10" t="n">
        <x:v>45627</x:v>
      </x:c>
      <x:c r="C415" t="inlineStr">
        <x:is>
          <x:t xml:space="preserve">S003</x:t>
        </x:is>
      </x:c>
      <x:c r="D415" t="inlineStr">
        <x:is>
          <x:t xml:space="preserve">Coral Gables</x:t>
        </x:is>
      </x:c>
      <x:c r="E415" t="inlineStr">
        <x:is>
          <x:t xml:space="preserve">Gabriel Samra</x:t>
        </x:is>
      </x:c>
      <x:c r="F415" t="inlineStr">
        <x:is>
          <x:t xml:space="preserve">GS005</x:t>
        </x:is>
      </x:c>
      <x:c r="G415" t="inlineStr">
        <x:is>
          <x:t xml:space="preserve">Hair Oil Serum</x:t>
        </x:is>
      </x:c>
      <x:c r="H415" t="inlineStr">
        <x:is>
          <x:t xml:space="preserve">Styling</x:t>
        </x:is>
      </x:c>
      <x:c r="I415" t="inlineStr">
        <x:is>
          <x:t xml:space="preserve">Olivia</x:t>
        </x:is>
      </x:c>
      <x:c r="J415" t="n">
        <x:v>125</x:v>
      </x:c>
      <x:c r="K415" t="n">
        <x:v>23.7</x:v>
      </x:c>
      <x:c r="L415" t="n">
        <x:v>59.73</x:v>
      </x:c>
      <x:c r="M415" t="n">
        <x:v>5</x:v>
      </x:c>
      <x:c r="N415" t="n">
        <x:v>7466.25</x:v>
      </x:c>
      <x:c r="O415" t="n">
        <x:v>2962.5</x:v>
      </x:c>
      <x:c r="P415" t="n">
        <x:v>4503.75</x:v>
      </x:c>
      <x:c r="Q415" t="n">
        <x:v>60.32</x:v>
      </x:c>
      <x:c r="R415" t="inlineStr">
        <x:is>
          <x:t xml:space="preserve">Apple Pay</x:t>
        </x:is>
      </x:c>
      <x:c r="S415" t="inlineStr">
        <x:is>
          <x:t xml:space="preserve">Returning</x:t>
        </x:is>
      </x:c>
    </x:row>
    <x:row r="416">
      <x:c r="A416" t="inlineStr">
        <x:is>
          <x:t xml:space="preserve">T100416</x:t>
        </x:is>
      </x:c>
      <x:c r="B416" s="10" t="n">
        <x:v>45658</x:v>
      </x:c>
      <x:c r="C416" t="inlineStr">
        <x:is>
          <x:t xml:space="preserve">S003</x:t>
        </x:is>
      </x:c>
      <x:c r="D416" t="inlineStr">
        <x:is>
          <x:t xml:space="preserve">Coral Gables</x:t>
        </x:is>
      </x:c>
      <x:c r="E416" t="inlineStr">
        <x:is>
          <x:t xml:space="preserve">Gabriel Samra</x:t>
        </x:is>
      </x:c>
      <x:c r="F416" t="inlineStr">
        <x:is>
          <x:t xml:space="preserve">GS005</x:t>
        </x:is>
      </x:c>
      <x:c r="G416" t="inlineStr">
        <x:is>
          <x:t xml:space="preserve">Hair Oil Serum</x:t>
        </x:is>
      </x:c>
      <x:c r="H416" t="inlineStr">
        <x:is>
          <x:t xml:space="preserve">Styling</x:t>
        </x:is>
      </x:c>
      <x:c r="I416" t="inlineStr">
        <x:is>
          <x:t xml:space="preserve">Daniel</x:t>
        </x:is>
      </x:c>
      <x:c r="J416" t="n">
        <x:v>103</x:v>
      </x:c>
      <x:c r="K416" t="n">
        <x:v>19.51</x:v>
      </x:c>
      <x:c r="L416" t="n">
        <x:v>64.37</x:v>
      </x:c>
      <x:c r="M416" t="n">
        <x:v>0</x:v>
      </x:c>
      <x:c r="N416" t="n">
        <x:v>6630.11</x:v>
      </x:c>
      <x:c r="O416" t="n">
        <x:v>2009.53</x:v>
      </x:c>
      <x:c r="P416" t="n">
        <x:v>4620.58</x:v>
      </x:c>
      <x:c r="Q416" t="n">
        <x:v>69.69</x:v>
      </x:c>
      <x:c r="R416" t="inlineStr">
        <x:is>
          <x:t xml:space="preserve">Cash</x:t>
        </x:is>
      </x:c>
      <x:c r="S416" t="inlineStr">
        <x:is>
          <x:t xml:space="preserve">New</x:t>
        </x:is>
      </x:c>
    </x:row>
    <x:row r="417">
      <x:c r="A417" t="inlineStr">
        <x:is>
          <x:t xml:space="preserve">T100417</x:t>
        </x:is>
      </x:c>
      <x:c r="B417" s="10" t="n">
        <x:v>45689</x:v>
      </x:c>
      <x:c r="C417" t="inlineStr">
        <x:is>
          <x:t xml:space="preserve">S003</x:t>
        </x:is>
      </x:c>
      <x:c r="D417" t="inlineStr">
        <x:is>
          <x:t xml:space="preserve">Coral Gables</x:t>
        </x:is>
      </x:c>
      <x:c r="E417" t="inlineStr">
        <x:is>
          <x:t xml:space="preserve">Gabriel Samra</x:t>
        </x:is>
      </x:c>
      <x:c r="F417" t="inlineStr">
        <x:is>
          <x:t xml:space="preserve">GS005</x:t>
        </x:is>
      </x:c>
      <x:c r="G417" t="inlineStr">
        <x:is>
          <x:t xml:space="preserve">Hair Oil Serum</x:t>
        </x:is>
      </x:c>
      <x:c r="H417" t="inlineStr">
        <x:is>
          <x:t xml:space="preserve">Styling</x:t>
        </x:is>
      </x:c>
      <x:c r="I417" t="inlineStr">
        <x:is>
          <x:t xml:space="preserve">Daniel</x:t>
        </x:is>
      </x:c>
      <x:c r="J417" t="n">
        <x:v>108</x:v>
      </x:c>
      <x:c r="K417" t="n">
        <x:v>21.46</x:v>
      </x:c>
      <x:c r="L417" t="n">
        <x:v>47.73</x:v>
      </x:c>
      <x:c r="M417" t="n">
        <x:v>0</x:v>
      </x:c>
      <x:c r="N417" t="n">
        <x:v>5154.84</x:v>
      </x:c>
      <x:c r="O417" t="n">
        <x:v>2317.68</x:v>
      </x:c>
      <x:c r="P417" t="n">
        <x:v>2837.16</x:v>
      </x:c>
      <x:c r="Q417" t="n">
        <x:v>55.04</x:v>
      </x:c>
      <x:c r="R417" t="inlineStr">
        <x:is>
          <x:t xml:space="preserve">Cash</x:t>
        </x:is>
      </x:c>
      <x:c r="S417" t="inlineStr">
        <x:is>
          <x:t xml:space="preserve">New</x:t>
        </x:is>
      </x:c>
    </x:row>
    <x:row r="418">
      <x:c r="A418" t="inlineStr">
        <x:is>
          <x:t xml:space="preserve">T100418</x:t>
        </x:is>
      </x:c>
      <x:c r="B418" s="10" t="n">
        <x:v>45717</x:v>
      </x:c>
      <x:c r="C418" t="inlineStr">
        <x:is>
          <x:t xml:space="preserve">S003</x:t>
        </x:is>
      </x:c>
      <x:c r="D418" t="inlineStr">
        <x:is>
          <x:t xml:space="preserve">Coral Gables</x:t>
        </x:is>
      </x:c>
      <x:c r="E418" t="inlineStr">
        <x:is>
          <x:t xml:space="preserve">Gabriel Samra</x:t>
        </x:is>
      </x:c>
      <x:c r="F418" t="inlineStr">
        <x:is>
          <x:t xml:space="preserve">GS005</x:t>
        </x:is>
      </x:c>
      <x:c r="G418" t="inlineStr">
        <x:is>
          <x:t xml:space="preserve">Hair Oil Serum</x:t>
        </x:is>
      </x:c>
      <x:c r="H418" t="inlineStr">
        <x:is>
          <x:t xml:space="preserve">Styling</x:t>
        </x:is>
      </x:c>
      <x:c r="I418" t="inlineStr">
        <x:is>
          <x:t xml:space="preserve">Lucas</x:t>
        </x:is>
      </x:c>
      <x:c r="J418" t="n">
        <x:v>92</x:v>
      </x:c>
      <x:c r="K418" t="n">
        <x:v>27</x:v>
      </x:c>
      <x:c r="L418" t="n">
        <x:v>80.53</x:v>
      </x:c>
      <x:c r="M418" t="n">
        <x:v>0</x:v>
      </x:c>
      <x:c r="N418" t="n">
        <x:v>7408.76</x:v>
      </x:c>
      <x:c r="O418" t="n">
        <x:v>2484</x:v>
      </x:c>
      <x:c r="P418" t="n">
        <x:v>4924.76</x:v>
      </x:c>
      <x:c r="Q418" t="n">
        <x:v>66.47</x:v>
      </x:c>
      <x:c r="R418" t="inlineStr">
        <x:is>
          <x:t xml:space="preserve">Apple Pay</x:t>
        </x:is>
      </x:c>
      <x:c r="S418" t="inlineStr">
        <x:is>
          <x:t xml:space="preserve">Returning</x:t>
        </x:is>
      </x:c>
    </x:row>
    <x:row r="419">
      <x:c r="A419" t="inlineStr">
        <x:is>
          <x:t xml:space="preserve">T100419</x:t>
        </x:is>
      </x:c>
      <x:c r="B419" s="10" t="n">
        <x:v>45748</x:v>
      </x:c>
      <x:c r="C419" t="inlineStr">
        <x:is>
          <x:t xml:space="preserve">S003</x:t>
        </x:is>
      </x:c>
      <x:c r="D419" t="inlineStr">
        <x:is>
          <x:t xml:space="preserve">Coral Gables</x:t>
        </x:is>
      </x:c>
      <x:c r="E419" t="inlineStr">
        <x:is>
          <x:t xml:space="preserve">Gabriel Samra</x:t>
        </x:is>
      </x:c>
      <x:c r="F419" t="inlineStr">
        <x:is>
          <x:t xml:space="preserve">GS005</x:t>
        </x:is>
      </x:c>
      <x:c r="G419" t="inlineStr">
        <x:is>
          <x:t xml:space="preserve">Hair Oil Serum</x:t>
        </x:is>
      </x:c>
      <x:c r="H419" t="inlineStr">
        <x:is>
          <x:t xml:space="preserve">Styling</x:t>
        </x:is>
      </x:c>
      <x:c r="I419" t="inlineStr">
        <x:is>
          <x:t xml:space="preserve">Emma</x:t>
        </x:is>
      </x:c>
      <x:c r="J419" t="n">
        <x:v>96</x:v>
      </x:c>
      <x:c r="K419" t="n">
        <x:v>19.68</x:v>
      </x:c>
      <x:c r="L419" t="n">
        <x:v>52.49</x:v>
      </x:c>
      <x:c r="M419" t="n">
        <x:v>5</x:v>
      </x:c>
      <x:c r="N419" t="n">
        <x:v>5039.04</x:v>
      </x:c>
      <x:c r="O419" t="n">
        <x:v>1889.28</x:v>
      </x:c>
      <x:c r="P419" t="n">
        <x:v>3149.76</x:v>
      </x:c>
      <x:c r="Q419" t="n">
        <x:v>62.51</x:v>
      </x:c>
      <x:c r="R419" t="inlineStr">
        <x:is>
          <x:t xml:space="preserve">Cash</x:t>
        </x:is>
      </x:c>
      <x:c r="S419" t="inlineStr">
        <x:is>
          <x:t xml:space="preserve">Returning</x:t>
        </x:is>
      </x:c>
    </x:row>
    <x:row r="420">
      <x:c r="A420" t="inlineStr">
        <x:is>
          <x:t xml:space="preserve">T100420</x:t>
        </x:is>
      </x:c>
      <x:c r="B420" s="10" t="n">
        <x:v>45778</x:v>
      </x:c>
      <x:c r="C420" t="inlineStr">
        <x:is>
          <x:t xml:space="preserve">S003</x:t>
        </x:is>
      </x:c>
      <x:c r="D420" t="inlineStr">
        <x:is>
          <x:t xml:space="preserve">Coral Gables</x:t>
        </x:is>
      </x:c>
      <x:c r="E420" t="inlineStr">
        <x:is>
          <x:t xml:space="preserve">Gabriel Samra</x:t>
        </x:is>
      </x:c>
      <x:c r="F420" t="inlineStr">
        <x:is>
          <x:t xml:space="preserve">GS005</x:t>
        </x:is>
      </x:c>
      <x:c r="G420" t="inlineStr">
        <x:is>
          <x:t xml:space="preserve">Hair Oil Serum</x:t>
        </x:is>
      </x:c>
      <x:c r="H420" t="inlineStr">
        <x:is>
          <x:t xml:space="preserve">Styling</x:t>
        </x:is>
      </x:c>
      <x:c r="I420" t="inlineStr">
        <x:is>
          <x:t xml:space="preserve">Lucas</x:t>
        </x:is>
      </x:c>
      <x:c r="J420" t="n">
        <x:v>98</x:v>
      </x:c>
      <x:c r="K420" t="n">
        <x:v>27.93</x:v>
      </x:c>
      <x:c r="L420" t="n">
        <x:v>93.88</x:v>
      </x:c>
      <x:c r="M420" t="n">
        <x:v>0</x:v>
      </x:c>
      <x:c r="N420" t="n">
        <x:v>9200.24</x:v>
      </x:c>
      <x:c r="O420" t="n">
        <x:v>2737.14</x:v>
      </x:c>
      <x:c r="P420" t="n">
        <x:v>6463.1</x:v>
      </x:c>
      <x:c r="Q420" t="n">
        <x:v>70.25</x:v>
      </x:c>
      <x:c r="R420" t="inlineStr">
        <x:is>
          <x:t xml:space="preserve">Apple Pay</x:t>
        </x:is>
      </x:c>
      <x:c r="S420" t="inlineStr">
        <x:is>
          <x:t xml:space="preserve">Returning</x:t>
        </x:is>
      </x:c>
    </x:row>
    <x:row r="421">
      <x:c r="A421" t="inlineStr">
        <x:is>
          <x:t xml:space="preserve">T100421</x:t>
        </x:is>
      </x:c>
      <x:c r="B421" s="10" t="n">
        <x:v>45809</x:v>
      </x:c>
      <x:c r="C421" t="inlineStr">
        <x:is>
          <x:t xml:space="preserve">S003</x:t>
        </x:is>
      </x:c>
      <x:c r="D421" t="inlineStr">
        <x:is>
          <x:t xml:space="preserve">Coral Gables</x:t>
        </x:is>
      </x:c>
      <x:c r="E421" t="inlineStr">
        <x:is>
          <x:t xml:space="preserve">Gabriel Samra</x:t>
        </x:is>
      </x:c>
      <x:c r="F421" t="inlineStr">
        <x:is>
          <x:t xml:space="preserve">GS005</x:t>
        </x:is>
      </x:c>
      <x:c r="G421" t="inlineStr">
        <x:is>
          <x:t xml:space="preserve">Hair Oil Serum</x:t>
        </x:is>
      </x:c>
      <x:c r="H421" t="inlineStr">
        <x:is>
          <x:t xml:space="preserve">Styling</x:t>
        </x:is>
      </x:c>
      <x:c r="I421" t="inlineStr">
        <x:is>
          <x:t xml:space="preserve">Olivia</x:t>
        </x:is>
      </x:c>
      <x:c r="J421" t="n">
        <x:v>291</x:v>
      </x:c>
      <x:c r="K421" t="n">
        <x:v>13.37</x:v>
      </x:c>
      <x:c r="L421" t="n">
        <x:v>38.73</x:v>
      </x:c>
      <x:c r="M421" t="n">
        <x:v>0</x:v>
      </x:c>
      <x:c r="N421" t="n">
        <x:v>11270.43</x:v>
      </x:c>
      <x:c r="O421" t="n">
        <x:v>3890.67</x:v>
      </x:c>
      <x:c r="P421" t="n">
        <x:v>7379.76</x:v>
      </x:c>
      <x:c r="Q421" t="n">
        <x:v>65.48</x:v>
      </x:c>
      <x:c r="R421" t="inlineStr">
        <x:is>
          <x:t xml:space="preserve">Cash</x:t>
        </x:is>
      </x:c>
      <x:c r="S421" t="inlineStr">
        <x:is>
          <x:t xml:space="preserve">Returning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0024fc53e7d042f8"/>
  </x:tableParts>
</x:worksheet>
</file>

<file path=xl/worksheets/sheet2.xml><?xml version="1.0" encoding="utf-8"?>
<x:worksheet xmlns:x="http://schemas.openxmlformats.org/spreadsheetml/2006/main">
  <x:sheetFormatPr baseColWidth="10" defaultColWidth="8.83203125" defaultRowHeight="15"/>
  <x:cols>
    <x:col min="1" max="1" width="11.83203125" customWidth="1"/>
    <x:col min="2" max="2" width="7.5" customWidth="1"/>
    <x:col min="3" max="3" width="24" customWidth="1"/>
    <x:col min="4" max="4" width="10" customWidth="1"/>
    <x:col min="5" max="5" width="7.33203125" customWidth="1"/>
    <x:col min="6" max="6" width="10.6640625" customWidth="1"/>
    <x:col min="7" max="7" width="12.33203125" customWidth="1"/>
    <x:col min="8" max="8" width="14.33203125" customWidth="1"/>
    <x:col min="9" max="9" width="7.6640625" customWidth="1"/>
  </x:cols>
  <x:sheetData>
    <x:row r="1" ht="37.25" customHeight="1">
      <x:c r="A1" s="1" t="inlineStr">
        <x:is>
          <x:t xml:space="preserve">Product_ID</x:t>
        </x:is>
      </x:c>
      <x:c r="B1" s="1" t="inlineStr">
        <x:is>
          <x:t xml:space="preserve">Brand</x:t>
        </x:is>
      </x:c>
      <x:c r="C1" s="1" t="inlineStr">
        <x:is>
          <x:t xml:space="preserve">Product_Name</x:t>
        </x:is>
      </x:c>
      <x:c r="D1" s="1" t="inlineStr">
        <x:is>
          <x:t xml:space="preserve">Category</x:t>
        </x:is>
      </x:c>
      <x:c r="E1" s="1" t="inlineStr">
        <x:is>
          <x:t xml:space="preserve">Size</x:t>
        </x:is>
      </x:c>
      <x:c r="F1" s="7" t="inlineStr">
        <x:is>
          <x:t xml:space="preserve">Unit_Cost</x:t>
        </x:is>
      </x:c>
      <x:c r="G1" s="7" t="inlineStr">
        <x:is>
          <x:t xml:space="preserve">Retail_Price</x:t>
        </x:is>
      </x:c>
      <x:c r="H1" s="1" t="inlineStr">
        <x:is>
          <x:t xml:space="preserve">Supplier</x:t>
        </x:is>
      </x:c>
      <x:c r="I1" s="1" t="inlineStr">
        <x:is>
          <x:t xml:space="preserve">Active</x:t>
        </x:is>
      </x:c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  <x:c r="S1" s="1" t="n"/>
      <x:c r="T1" s="1" t="n"/>
      <x:c r="U1" s="1" t="n"/>
      <x:c r="V1" s="1" t="n"/>
      <x:c r="W1" s="1" t="n"/>
      <x:c r="X1" s="1" t="n"/>
      <x:c r="Y1" s="1" t="n"/>
      <x:c r="Z1" s="1" t="n"/>
    </x:row>
    <x:row r="2">
      <x:c r="A2" t="inlineStr">
        <x:is>
          <x:t xml:space="preserve">TRU-SHP-001</x:t>
        </x:is>
      </x:c>
      <x:c r="B2" t="inlineStr">
        <x:is>
          <x:t xml:space="preserve">Truss</x:t>
        </x:is>
      </x:c>
      <x:c r="C2" t="inlineStr">
        <x:is>
          <x:t xml:space="preserve">Infusion Shampoo</x:t>
        </x:is>
      </x:c>
      <x:c r="D2" t="inlineStr">
        <x:is>
          <x:t xml:space="preserve">Hair Care</x:t>
        </x:is>
      </x:c>
      <x:c r="E2" t="inlineStr">
        <x:is>
          <x:t xml:space="preserve">300 ml</x:t>
        </x:is>
      </x:c>
      <x:c r="F2" t="n">
        <x:v>14.5</x:v>
      </x:c>
      <x:c r="G2" t="n">
        <x:v>32</x:v>
      </x:c>
      <x:c r="H2" t="inlineStr">
        <x:is>
          <x:t xml:space="preserve">Truss Professional</x:t>
        </x:is>
      </x:c>
      <x:c r="I2" t="inlineStr">
        <x:is>
          <x:t xml:space="preserve">Yes</x:t>
        </x:is>
      </x:c>
    </x:row>
    <x:row r="3">
      <x:c r="A3" t="inlineStr">
        <x:is>
          <x:t xml:space="preserve">TRU-CND-002</x:t>
        </x:is>
      </x:c>
      <x:c r="B3" t="inlineStr">
        <x:is>
          <x:t xml:space="preserve">Truss</x:t>
        </x:is>
      </x:c>
      <x:c r="C3" t="inlineStr">
        <x:is>
          <x:t xml:space="preserve">Infusion Conditioner</x:t>
        </x:is>
      </x:c>
      <x:c r="D3" t="inlineStr">
        <x:is>
          <x:t xml:space="preserve">Hair Care</x:t>
        </x:is>
      </x:c>
      <x:c r="E3" t="inlineStr">
        <x:is>
          <x:t xml:space="preserve">300 ml</x:t>
        </x:is>
      </x:c>
      <x:c r="F3" t="n">
        <x:v>15.25</x:v>
      </x:c>
      <x:c r="G3" t="n">
        <x:v>34</x:v>
      </x:c>
      <x:c r="H3" t="inlineStr">
        <x:is>
          <x:t xml:space="preserve">Truss Professional</x:t>
        </x:is>
      </x:c>
      <x:c r="I3" t="inlineStr">
        <x:is>
          <x:t xml:space="preserve">Yes</x:t>
        </x:is>
      </x:c>
    </x:row>
    <x:row r="4">
      <x:c r="A4" t="inlineStr">
        <x:is>
          <x:t xml:space="preserve">TRU-MSK-003</x:t>
        </x:is>
      </x:c>
      <x:c r="B4" t="inlineStr">
        <x:is>
          <x:t xml:space="preserve">Truss</x:t>
        </x:is>
      </x:c>
      <x:c r="C4" t="inlineStr">
        <x:is>
          <x:t xml:space="preserve">Net Mask</x:t>
        </x:is>
      </x:c>
      <x:c r="D4" t="inlineStr">
        <x:is>
          <x:t xml:space="preserve">Treatment</x:t>
        </x:is>
      </x:c>
      <x:c r="E4" t="inlineStr">
        <x:is>
          <x:t xml:space="preserve">180 g</x:t>
        </x:is>
      </x:c>
      <x:c r="F4" t="n">
        <x:v>20</x:v>
      </x:c>
      <x:c r="G4" t="n">
        <x:v>45</x:v>
      </x:c>
      <x:c r="H4" t="inlineStr">
        <x:is>
          <x:t xml:space="preserve">Truss Professional</x:t>
        </x:is>
      </x:c>
      <x:c r="I4" t="inlineStr">
        <x:is>
          <x:t xml:space="preserve">Yes</x:t>
        </x:is>
      </x:c>
    </x:row>
    <x:row r="5">
      <x:c r="A5" t="inlineStr">
        <x:is>
          <x:t xml:space="preserve">TRU-OIL-004</x:t>
        </x:is>
      </x:c>
      <x:c r="B5" t="inlineStr">
        <x:is>
          <x:t xml:space="preserve">Truss</x:t>
        </x:is>
      </x:c>
      <x:c r="C5" t="inlineStr">
        <x:is>
          <x:t xml:space="preserve">Deluxe Prime Oil</x:t>
        </x:is>
      </x:c>
      <x:c r="D5" t="inlineStr">
        <x:is>
          <x:t xml:space="preserve">Finishing</x:t>
        </x:is>
      </x:c>
      <x:c r="E5" t="inlineStr">
        <x:is>
          <x:t xml:space="preserve">60 ml</x:t>
        </x:is>
      </x:c>
      <x:c r="F5" t="n">
        <x:v>18</x:v>
      </x:c>
      <x:c r="G5" t="n">
        <x:v>42</x:v>
      </x:c>
      <x:c r="H5" t="inlineStr">
        <x:is>
          <x:t xml:space="preserve">Truss Professional</x:t>
        </x:is>
      </x:c>
      <x:c r="I5" t="inlineStr">
        <x:is>
          <x:t xml:space="preserve">Yes</x:t>
        </x:is>
      </x:c>
    </x:row>
    <x:row r="6">
      <x:c r="A6" t="inlineStr">
        <x:is>
          <x:t xml:space="preserve">TRU-SER-005</x:t>
        </x:is>
      </x:c>
      <x:c r="B6" t="inlineStr">
        <x:is>
          <x:t xml:space="preserve">Truss</x:t>
        </x:is>
      </x:c>
      <x:c r="C6" t="inlineStr">
        <x:is>
          <x:t xml:space="preserve">Night Spa Serum</x:t>
        </x:is>
      </x:c>
      <x:c r="D6" t="inlineStr">
        <x:is>
          <x:t xml:space="preserve">Treatment</x:t>
        </x:is>
      </x:c>
      <x:c r="E6" t="inlineStr">
        <x:is>
          <x:t xml:space="preserve">250 ml</x:t>
        </x:is>
      </x:c>
      <x:c r="F6" t="n">
        <x:v>19.75</x:v>
      </x:c>
      <x:c r="G6" t="n">
        <x:v>48</x:v>
      </x:c>
      <x:c r="H6" t="inlineStr">
        <x:is>
          <x:t xml:space="preserve">Truss Professional</x:t>
        </x:is>
      </x:c>
      <x:c r="I6" t="inlineStr">
        <x:is>
          <x:t xml:space="preserve">Yes</x:t>
        </x:is>
      </x:c>
    </x:row>
    <x:row r="7">
      <x:c r="A7" t="inlineStr">
        <x:is>
          <x:t xml:space="preserve">SUT-FIR-001</x:t>
        </x:is>
      </x:c>
      <x:c r="B7" t="inlineStr">
        <x:is>
          <x:t xml:space="preserve">Sutra</x:t>
        </x:is>
      </x:c>
      <x:c r="C7" t="inlineStr">
        <x:is>
          <x:t xml:space="preserve">Mini Flat Iron</x:t>
        </x:is>
      </x:c>
      <x:c r="D7" t="inlineStr">
        <x:is>
          <x:t xml:space="preserve">Hot Tools</x:t>
        </x:is>
      </x:c>
      <x:c r="E7" t="inlineStr">
        <x:is>
          <x:t xml:space="preserve">1 inch</x:t>
        </x:is>
      </x:c>
      <x:c r="F7" t="n">
        <x:v>38</x:v>
      </x:c>
      <x:c r="G7" t="n">
        <x:v>89</x:v>
      </x:c>
      <x:c r="H7" t="inlineStr">
        <x:is>
          <x:t xml:space="preserve">Sutra Beauty</x:t>
        </x:is>
      </x:c>
      <x:c r="I7" t="inlineStr">
        <x:is>
          <x:t xml:space="preserve">Yes</x:t>
        </x:is>
      </x:c>
    </x:row>
    <x:row r="8">
      <x:c r="A8" t="inlineStr">
        <x:is>
          <x:t xml:space="preserve">SUT-CUR-002</x:t>
        </x:is>
      </x:c>
      <x:c r="B8" t="inlineStr">
        <x:is>
          <x:t xml:space="preserve">Sutra</x:t>
        </x:is>
      </x:c>
      <x:c r="C8" t="inlineStr">
        <x:is>
          <x:t xml:space="preserve">Clipless Curling Iron</x:t>
        </x:is>
      </x:c>
      <x:c r="D8" t="inlineStr">
        <x:is>
          <x:t xml:space="preserve">Hot Tools</x:t>
        </x:is>
      </x:c>
      <x:c r="E8" t="inlineStr">
        <x:is>
          <x:t xml:space="preserve">1.25 inch</x:t>
        </x:is>
      </x:c>
      <x:c r="F8" t="n">
        <x:v>42</x:v>
      </x:c>
      <x:c r="G8" t="n">
        <x:v>99</x:v>
      </x:c>
      <x:c r="H8" t="inlineStr">
        <x:is>
          <x:t xml:space="preserve">Sutra Beauty</x:t>
        </x:is>
      </x:c>
      <x:c r="I8" t="inlineStr">
        <x:is>
          <x:t xml:space="preserve">Yes</x:t>
        </x:is>
      </x:c>
    </x:row>
    <x:row r="9">
      <x:c r="A9" t="inlineStr">
        <x:is>
          <x:t xml:space="preserve">SUT-BLO-003</x:t>
        </x:is>
      </x:c>
      <x:c r="B9" t="inlineStr">
        <x:is>
          <x:t xml:space="preserve">Sutra</x:t>
        </x:is>
      </x:c>
      <x:c r="C9" t="inlineStr">
        <x:is>
          <x:t xml:space="preserve">Blowout Brush</x:t>
        </x:is>
      </x:c>
      <x:c r="D9" t="inlineStr">
        <x:is>
          <x:t xml:space="preserve">Hot Tools</x:t>
        </x:is>
      </x:c>
      <x:c r="E9" t="inlineStr">
        <x:is>
          <x:t xml:space="preserve">One Size</x:t>
        </x:is>
      </x:c>
      <x:c r="F9" t="n">
        <x:v>48</x:v>
      </x:c>
      <x:c r="G9" t="n">
        <x:v>119</x:v>
      </x:c>
      <x:c r="H9" t="inlineStr">
        <x:is>
          <x:t xml:space="preserve">Sutra Beauty</x:t>
        </x:is>
      </x:c>
      <x:c r="I9" t="inlineStr">
        <x:is>
          <x:t xml:space="preserve">Yes</x:t>
        </x:is>
      </x:c>
    </x:row>
    <x:row r="10">
      <x:c r="A10" t="inlineStr">
        <x:is>
          <x:t xml:space="preserve">SUT-DRY-004</x:t>
        </x:is>
      </x:c>
      <x:c r="B10" t="inlineStr">
        <x:is>
          <x:t xml:space="preserve">Sutra</x:t>
        </x:is>
      </x:c>
      <x:c r="C10" t="inlineStr">
        <x:is>
          <x:t xml:space="preserve">Professional Hair Dryer</x:t>
        </x:is>
      </x:c>
      <x:c r="D10" t="inlineStr">
        <x:is>
          <x:t xml:space="preserve">Hot Tools</x:t>
        </x:is>
      </x:c>
      <x:c r="E10" t="inlineStr">
        <x:is>
          <x:t xml:space="preserve">1875W</x:t>
        </x:is>
      </x:c>
      <x:c r="F10" t="n">
        <x:v>62</x:v>
      </x:c>
      <x:c r="G10" t="n">
        <x:v>149</x:v>
      </x:c>
      <x:c r="H10" t="inlineStr">
        <x:is>
          <x:t xml:space="preserve">Sutra Beauty</x:t>
        </x:is>
      </x:c>
      <x:c r="I10" t="inlineStr">
        <x:is>
          <x:t xml:space="preserve">Yes</x:t>
        </x:is>
      </x:c>
    </x:row>
    <x:row r="11">
      <x:c r="A11" t="inlineStr">
        <x:is>
          <x:t xml:space="preserve">SUT-HSP-005</x:t>
        </x:is>
      </x:c>
      <x:c r="B11" t="inlineStr">
        <x:is>
          <x:t xml:space="preserve">Sutra</x:t>
        </x:is>
      </x:c>
      <x:c r="C11" t="inlineStr">
        <x:is>
          <x:t xml:space="preserve">Heat Spray</x:t>
        </x:is>
      </x:c>
      <x:c r="D11" t="inlineStr">
        <x:is>
          <x:t xml:space="preserve">Styling</x:t>
        </x:is>
      </x:c>
      <x:c r="E11" t="inlineStr">
        <x:is>
          <x:t xml:space="preserve">150 ml</x:t>
        </x:is>
      </x:c>
      <x:c r="F11" t="n">
        <x:v>9.5</x:v>
      </x:c>
      <x:c r="G11" t="n">
        <x:v>24</x:v>
      </x:c>
      <x:c r="H11" t="inlineStr">
        <x:is>
          <x:t xml:space="preserve">Sutra Beauty</x:t>
        </x:is>
      </x:c>
      <x:c r="I11" t="inlineStr">
        <x:is>
          <x:t xml:space="preserve">Yes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e4e9829e056b4e52"/>
  </x:tableParts>
</x:worksheet>
</file>

<file path=xl/worksheets/sheet3.xml><?xml version="1.0" encoding="utf-8"?>
<x:worksheet xmlns:x="http://schemas.openxmlformats.org/spreadsheetml/2006/main">
  <x:sheetFormatPr baseColWidth="10" defaultColWidth="8.83203125" defaultRowHeight="15"/>
  <x:cols>
    <x:col min="1" max="1" width="24" hidden="0" customWidth="1"/>
    <x:col min="2" max="2" width="9.6899995803833" hidden="0" customWidth="1"/>
    <x:col min="3" max="3" width="28" hidden="0" customWidth="1"/>
    <x:col min="4" max="4" width="7.539999961853027" hidden="0" customWidth="1"/>
    <x:col min="5" max="5" width="11.84000015258789" hidden="0" customWidth="1"/>
    <x:col min="6" max="6" width="24" hidden="0" customWidth="1"/>
    <x:col min="7" max="7" width="9.960000038146973" hidden="0" customWidth="1"/>
    <x:col min="8" max="8" width="14.9399995803833" hidden="0" customWidth="1"/>
    <x:col min="9" max="9" width="15.210000038146973" hidden="0" customWidth="1"/>
    <x:col min="10" max="10" width="11.4399995803833" hidden="0" customWidth="1"/>
    <x:col min="11" max="11" width="14.270000457763672" hidden="0" customWidth="1"/>
    <x:col min="13" max="13" width="26.3799991607666" hidden="0" customWidth="1"/>
    <x:col min="14" max="14" width="13.0600004196167" hidden="0" customWidth="1"/>
    <x:col min="15" max="15" width="18.979999542236328" hidden="0" customWidth="1"/>
    <x:col min="12" max="12" width="14.399999618530273" hidden="0" customWidth="1"/>
    <x:col min="16" max="16" width="24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</x:cols>
  <x:sheetData>
    <x:row r="1" ht="37.25" customHeight="1">
      <x:c r="A1" s="22" t="inlineStr">
        <x:is>
          <x:t xml:space="preserve">Inventory_ID</x:t>
        </x:is>
      </x:c>
      <x:c r="B1" s="22" t="inlineStr">
        <x:is>
          <x:t xml:space="preserve">Store_ID</x:t>
        </x:is>
      </x:c>
      <x:c r="C1" s="22" t="inlineStr">
        <x:is>
          <x:t xml:space="preserve">Salon_Location</x:t>
        </x:is>
      </x:c>
      <x:c r="D1" s="22" t="inlineStr">
        <x:is>
          <x:t xml:space="preserve">Brand</x:t>
        </x:is>
      </x:c>
      <x:c r="E1" s="22" t="inlineStr">
        <x:is>
          <x:t xml:space="preserve">Product_ID</x:t>
        </x:is>
      </x:c>
      <x:c r="F1" s="22" t="inlineStr">
        <x:is>
          <x:t xml:space="preserve">Product_Name</x:t>
        </x:is>
      </x:c>
      <x:c r="G1" s="22" t="inlineStr">
        <x:is>
          <x:t xml:space="preserve">Category</x:t>
        </x:is>
      </x:c>
      <x:c r="H1" s="22" t="inlineStr">
        <x:is>
          <x:t xml:space="preserve">Opening_Stock</x:t>
        </x:is>
      </x:c>
      <x:c r="I1" s="22" t="inlineStr">
        <x:is>
          <x:t xml:space="preserve">Units_Received</x:t>
        </x:is>
      </x:c>
      <x:c r="J1" s="22" t="inlineStr">
        <x:is>
          <x:t xml:space="preserve">Units_Sold</x:t>
        </x:is>
      </x:c>
      <x:c r="K1" s="22" t="inlineStr">
        <x:is>
          <x:t xml:space="preserve">Current_Stock</x:t>
        </x:is>
      </x:c>
      <x:c r="L1" s="22" t="inlineStr">
        <x:is>
          <x:t xml:space="preserve">Reorder_Point</x:t>
        </x:is>
      </x:c>
      <x:c r="M1" s="22" t="inlineStr">
        <x:is>
          <x:t xml:space="preserve">Recommended_Reorder_Qty</x:t>
        </x:is>
      </x:c>
      <x:c r="N1" s="22" t="inlineStr">
        <x:is>
          <x:t xml:space="preserve">Stock_Status</x:t>
        </x:is>
      </x:c>
      <x:c r="O1" s="23" t="inlineStr">
        <x:is>
          <x:t xml:space="preserve">Last_Received_Date</x:t>
        </x:is>
      </x:c>
      <x:c r="P1" s="22" t="str">
        <x:v>Supplier</x:v>
      </x:c>
      <x:c r="Q1" s="22" t="str">
        <x:v>Lead_Time_Days</x:v>
      </x:c>
      <x:c r="R1" s="22" t="str">
        <x:v>Lead_Time_Std_Days</x:v>
      </x:c>
      <x:c r="S1" s="22" t="str">
        <x:v>Supplier_Reliability</x:v>
      </x:c>
      <x:c r="T1" s="22" t="str">
        <x:v>On_Time_Delivery_Rate</x:v>
      </x:c>
      <x:c r="U1" s="22" t="str">
        <x:v>Fill_Rate</x:v>
      </x:c>
      <x:c r="V1" s="22" t="str">
        <x:v>Shipping_Cost_Per_Unit</x:v>
      </x:c>
      <x:c r="W1" s="22" t="str">
        <x:v>Warehouse_Cost_Per_Unit</x:v>
      </x:c>
      <x:c r="X1" s="22" t="str">
        <x:v>Fulfillment_Cost_Per_Unit</x:v>
      </x:c>
      <x:c r="Y1" s="1" t="n"/>
      <x:c r="Z1" s="1" t="n"/>
    </x:row>
    <x:row r="2">
      <x:c r="A2" s="26" t="inlineStr">
        <x:is>
          <x:t xml:space="preserve">INV-CG-001-TRU-SHP-001</x:t>
        </x:is>
      </x:c>
      <x:c r="B2" s="26" t="inlineStr">
        <x:is>
          <x:t xml:space="preserve">CG-001</x:t>
        </x:is>
      </x:c>
      <x:c r="C2" s="26" t="inlineStr">
        <x:is>
          <x:t xml:space="preserve">Gabriel Samra Coral Gables</x:t>
        </x:is>
      </x:c>
      <x:c r="D2" s="26" t="inlineStr">
        <x:is>
          <x:t xml:space="preserve">Truss</x:t>
        </x:is>
      </x:c>
      <x:c r="E2" s="26" t="inlineStr">
        <x:is>
          <x:t xml:space="preserve">TRU-SHP-001</x:t>
        </x:is>
      </x:c>
      <x:c r="F2" s="26" t="inlineStr">
        <x:is>
          <x:t xml:space="preserve">Infusion Shampoo</x:t>
        </x:is>
      </x:c>
      <x:c r="G2" s="26" t="inlineStr">
        <x:is>
          <x:t xml:space="preserve">Hair Care</x:t>
        </x:is>
      </x:c>
      <x:c r="H2" s="26" t="n">
        <x:v>24</x:v>
      </x:c>
      <x:c r="I2" s="26" t="n">
        <x:v>26</x:v>
      </x:c>
      <x:c r="J2" s="32" t="n">
        <x:v>31</x:v>
      </x:c>
      <x:c r="K2" s="32" t="n">
        <x:v>19</x:v>
      </x:c>
      <x:c r="L2" s="32" t="n">
        <x:v>8</x:v>
      </x:c>
      <x:c r="M2" s="32" t="n">
        <x:v>0</x:v>
      </x:c>
      <x:c r="N2" s="26" t="str">
        <x:v>Healthy Stock</x:v>
      </x:c>
      <x:c r="O2" s="26" t="n">
        <x:v>46128</x:v>
      </x:c>
      <x:c r="P2" s="26" t="str">
        <x:v>Truss Professional</x:v>
      </x:c>
      <x:c r="Q2" s="32" t="n">
        <x:v>12</x:v>
      </x:c>
      <x:c r="R2" s="32" t="n">
        <x:v>2</x:v>
      </x:c>
      <x:c r="S2" s="28" t="n">
        <x:v>0.94</x:v>
      </x:c>
      <x:c r="T2" s="28" t="n">
        <x:v>0.92</x:v>
      </x:c>
      <x:c r="U2" s="28" t="n">
        <x:v>0.96</x:v>
      </x:c>
      <x:c r="V2" s="30" t="n">
        <x:v>1.1</x:v>
      </x:c>
      <x:c r="W2" s="30" t="n">
        <x:v>0.35</x:v>
      </x:c>
      <x:c r="X2" s="30" t="n">
        <x:v>0.7</x:v>
      </x:c>
    </x:row>
    <x:row r="3">
      <x:c r="A3" s="26" t="inlineStr">
        <x:is>
          <x:t xml:space="preserve">INV-CG-001-TRU-CND-002</x:t>
        </x:is>
      </x:c>
      <x:c r="B3" s="26" t="inlineStr">
        <x:is>
          <x:t xml:space="preserve">CG-001</x:t>
        </x:is>
      </x:c>
      <x:c r="C3" s="26" t="inlineStr">
        <x:is>
          <x:t xml:space="preserve">Gabriel Samra Coral Gables</x:t>
        </x:is>
      </x:c>
      <x:c r="D3" s="26" t="inlineStr">
        <x:is>
          <x:t xml:space="preserve">Truss</x:t>
        </x:is>
      </x:c>
      <x:c r="E3" s="26" t="inlineStr">
        <x:is>
          <x:t xml:space="preserve">TRU-CND-002</x:t>
        </x:is>
      </x:c>
      <x:c r="F3" s="26" t="inlineStr">
        <x:is>
          <x:t xml:space="preserve">Infusion Conditioner</x:t>
        </x:is>
      </x:c>
      <x:c r="G3" s="26" t="inlineStr">
        <x:is>
          <x:t xml:space="preserve">Hair Care</x:t>
        </x:is>
      </x:c>
      <x:c r="H3" s="26" t="n">
        <x:v>29</x:v>
      </x:c>
      <x:c r="I3" s="26" t="n">
        <x:v>19</x:v>
      </x:c>
      <x:c r="J3" s="32" t="n">
        <x:v>37</x:v>
      </x:c>
      <x:c r="K3" s="32" t="n">
        <x:v>11</x:v>
      </x:c>
      <x:c r="L3" s="32" t="n">
        <x:v>8</x:v>
      </x:c>
      <x:c r="M3" s="32" t="n">
        <x:v>0</x:v>
      </x:c>
      <x:c r="N3" s="26" t="str">
        <x:v>Healthy Stock</x:v>
      </x:c>
      <x:c r="O3" s="26" t="n">
        <x:v>46121</x:v>
      </x:c>
      <x:c r="P3" s="26" t="str">
        <x:v>Truss Professional</x:v>
      </x:c>
      <x:c r="Q3" s="32" t="n">
        <x:v>14</x:v>
      </x:c>
      <x:c r="R3" s="32" t="n">
        <x:v>3</x:v>
      </x:c>
      <x:c r="S3" s="28" t="n">
        <x:v>0.91</x:v>
      </x:c>
      <x:c r="T3" s="28" t="n">
        <x:v>0.88</x:v>
      </x:c>
      <x:c r="U3" s="28" t="n">
        <x:v>0.94</x:v>
      </x:c>
      <x:c r="V3" s="30" t="n">
        <x:v>1.15</x:v>
      </x:c>
      <x:c r="W3" s="30" t="n">
        <x:v>0.35</x:v>
      </x:c>
      <x:c r="X3" s="30" t="n">
        <x:v>0.72</x:v>
      </x:c>
    </x:row>
    <x:row r="4">
      <x:c r="A4" s="26" t="inlineStr">
        <x:is>
          <x:t xml:space="preserve">INV-CG-001-TRU-MSK-003</x:t>
        </x:is>
      </x:c>
      <x:c r="B4" s="26" t="inlineStr">
        <x:is>
          <x:t xml:space="preserve">CG-001</x:t>
        </x:is>
      </x:c>
      <x:c r="C4" s="26" t="inlineStr">
        <x:is>
          <x:t xml:space="preserve">Gabriel Samra Coral Gables</x:t>
        </x:is>
      </x:c>
      <x:c r="D4" s="26" t="inlineStr">
        <x:is>
          <x:t xml:space="preserve">Truss</x:t>
        </x:is>
      </x:c>
      <x:c r="E4" s="26" t="inlineStr">
        <x:is>
          <x:t xml:space="preserve">TRU-MSK-003</x:t>
        </x:is>
      </x:c>
      <x:c r="F4" s="26" t="inlineStr">
        <x:is>
          <x:t xml:space="preserve">Net Mask</x:t>
        </x:is>
      </x:c>
      <x:c r="G4" s="26" t="inlineStr">
        <x:is>
          <x:t xml:space="preserve">Treatment</x:t>
        </x:is>
      </x:c>
      <x:c r="H4" s="26" t="n">
        <x:v>16</x:v>
      </x:c>
      <x:c r="I4" s="26" t="n">
        <x:v>29</x:v>
      </x:c>
      <x:c r="J4" s="32" t="n">
        <x:v>42</x:v>
      </x:c>
      <x:c r="K4" s="32" t="n">
        <x:v>3</x:v>
      </x:c>
      <x:c r="L4" s="32" t="n">
        <x:v>8</x:v>
      </x:c>
      <x:c r="M4" s="32" t="n">
        <x:v>5</x:v>
      </x:c>
      <x:c r="N4" s="26" t="str">
        <x:v>Reorder Needed</x:v>
      </x:c>
      <x:c r="O4" s="26" t="n">
        <x:v>46146</x:v>
      </x:c>
      <x:c r="P4" s="26" t="str">
        <x:v>Truss Professional</x:v>
      </x:c>
      <x:c r="Q4" s="32" t="n">
        <x:v>16</x:v>
      </x:c>
      <x:c r="R4" s="32" t="n">
        <x:v>4</x:v>
      </x:c>
      <x:c r="S4" s="28" t="n">
        <x:v>0.86</x:v>
      </x:c>
      <x:c r="T4" s="28" t="n">
        <x:v>0.82</x:v>
      </x:c>
      <x:c r="U4" s="28" t="n">
        <x:v>0.89</x:v>
      </x:c>
      <x:c r="V4" s="30" t="n">
        <x:v>1.3</x:v>
      </x:c>
      <x:c r="W4" s="30" t="n">
        <x:v>0.42</x:v>
      </x:c>
      <x:c r="X4" s="30" t="n">
        <x:v>0.85</x:v>
      </x:c>
    </x:row>
    <x:row r="5">
      <x:c r="A5" s="26" t="inlineStr">
        <x:is>
          <x:t xml:space="preserve">INV-CG-001-TRU-OIL-004</x:t>
        </x:is>
      </x:c>
      <x:c r="B5" s="26" t="inlineStr">
        <x:is>
          <x:t xml:space="preserve">CG-001</x:t>
        </x:is>
      </x:c>
      <x:c r="C5" s="26" t="inlineStr">
        <x:is>
          <x:t xml:space="preserve">Gabriel Samra Coral Gables</x:t>
        </x:is>
      </x:c>
      <x:c r="D5" s="26" t="inlineStr">
        <x:is>
          <x:t xml:space="preserve">Truss</x:t>
        </x:is>
      </x:c>
      <x:c r="E5" s="26" t="inlineStr">
        <x:is>
          <x:t xml:space="preserve">TRU-OIL-004</x:t>
        </x:is>
      </x:c>
      <x:c r="F5" s="26" t="inlineStr">
        <x:is>
          <x:t xml:space="preserve">Deluxe Prime Oil</x:t>
        </x:is>
      </x:c>
      <x:c r="G5" s="26" t="inlineStr">
        <x:is>
          <x:t xml:space="preserve">Finishing</x:t>
        </x:is>
      </x:c>
      <x:c r="H5" s="26" t="n">
        <x:v>21</x:v>
      </x:c>
      <x:c r="I5" s="26" t="n">
        <x:v>18</x:v>
      </x:c>
      <x:c r="J5" s="32" t="n">
        <x:v>24</x:v>
      </x:c>
      <x:c r="K5" s="32" t="n">
        <x:v>15</x:v>
      </x:c>
      <x:c r="L5" s="32" t="n">
        <x:v>8</x:v>
      </x:c>
      <x:c r="M5" s="32" t="n">
        <x:v>0</x:v>
      </x:c>
      <x:c r="N5" s="26" t="str">
        <x:v>Healthy Stock</x:v>
      </x:c>
      <x:c r="O5" s="26" t="n">
        <x:v>46032</x:v>
      </x:c>
      <x:c r="P5" s="26" t="str">
        <x:v>Truss Professional</x:v>
      </x:c>
      <x:c r="Q5" s="32" t="n">
        <x:v>13</x:v>
      </x:c>
      <x:c r="R5" s="32" t="n">
        <x:v>3</x:v>
      </x:c>
      <x:c r="S5" s="28" t="n">
        <x:v>0.9</x:v>
      </x:c>
      <x:c r="T5" s="28" t="n">
        <x:v>0.87</x:v>
      </x:c>
      <x:c r="U5" s="28" t="n">
        <x:v>0.93</x:v>
      </x:c>
      <x:c r="V5" s="30" t="n">
        <x:v>1.05</x:v>
      </x:c>
      <x:c r="W5" s="30" t="n">
        <x:v>0.33</x:v>
      </x:c>
      <x:c r="X5" s="30" t="n">
        <x:v>0.68</x:v>
      </x:c>
    </x:row>
    <x:row r="6">
      <x:c r="A6" s="26" t="inlineStr">
        <x:is>
          <x:t xml:space="preserve">INV-CG-001-TRU-SER-005</x:t>
        </x:is>
      </x:c>
      <x:c r="B6" s="26" t="inlineStr">
        <x:is>
          <x:t xml:space="preserve">CG-001</x:t>
        </x:is>
      </x:c>
      <x:c r="C6" s="26" t="inlineStr">
        <x:is>
          <x:t xml:space="preserve">Gabriel Samra Coral Gables</x:t>
        </x:is>
      </x:c>
      <x:c r="D6" s="26" t="inlineStr">
        <x:is>
          <x:t xml:space="preserve">Truss</x:t>
        </x:is>
      </x:c>
      <x:c r="E6" s="26" t="inlineStr">
        <x:is>
          <x:t xml:space="preserve">TRU-SER-005</x:t>
        </x:is>
      </x:c>
      <x:c r="F6" s="26" t="inlineStr">
        <x:is>
          <x:t xml:space="preserve">Night Spa Serum</x:t>
        </x:is>
      </x:c>
      <x:c r="G6" s="26" t="inlineStr">
        <x:is>
          <x:t xml:space="preserve">Treatment</x:t>
        </x:is>
      </x:c>
      <x:c r="H6" s="26" t="n">
        <x:v>31</x:v>
      </x:c>
      <x:c r="I6" s="26" t="n">
        <x:v>26</x:v>
      </x:c>
      <x:c r="J6" s="32" t="n">
        <x:v>48</x:v>
      </x:c>
      <x:c r="K6" s="32" t="n">
        <x:v>9</x:v>
      </x:c>
      <x:c r="L6" s="32" t="n">
        <x:v>8</x:v>
      </x:c>
      <x:c r="M6" s="32" t="n">
        <x:v>0</x:v>
      </x:c>
      <x:c r="N6" s="26" t="str">
        <x:v>Healthy Stock</x:v>
      </x:c>
      <x:c r="O6" s="26" t="n">
        <x:v>46158</x:v>
      </x:c>
      <x:c r="P6" s="26" t="str">
        <x:v>Truss Professional</x:v>
      </x:c>
      <x:c r="Q6" s="32" t="n">
        <x:v>18</x:v>
      </x:c>
      <x:c r="R6" s="32" t="n">
        <x:v>5</x:v>
      </x:c>
      <x:c r="S6" s="28" t="n">
        <x:v>0.83</x:v>
      </x:c>
      <x:c r="T6" s="28" t="n">
        <x:v>0.78</x:v>
      </x:c>
      <x:c r="U6" s="28" t="n">
        <x:v>0.86</x:v>
      </x:c>
      <x:c r="V6" s="30" t="n">
        <x:v>1.4</x:v>
      </x:c>
      <x:c r="W6" s="30" t="n">
        <x:v>0.45</x:v>
      </x:c>
      <x:c r="X6" s="30" t="n">
        <x:v>0.9</x:v>
      </x:c>
    </x:row>
    <x:row r="7">
      <x:c r="A7" s="26" t="inlineStr">
        <x:is>
          <x:t xml:space="preserve">INV-CG-001-SUT-FIR-001</x:t>
        </x:is>
      </x:c>
      <x:c r="B7" s="26" t="inlineStr">
        <x:is>
          <x:t xml:space="preserve">CG-001</x:t>
        </x:is>
      </x:c>
      <x:c r="C7" s="26" t="inlineStr">
        <x:is>
          <x:t xml:space="preserve">Gabriel Samra Coral Gables</x:t>
        </x:is>
      </x:c>
      <x:c r="D7" s="26" t="inlineStr">
        <x:is>
          <x:t xml:space="preserve">Sutra</x:t>
        </x:is>
      </x:c>
      <x:c r="E7" s="26" t="inlineStr">
        <x:is>
          <x:t xml:space="preserve">SUT-FIR-001</x:t>
        </x:is>
      </x:c>
      <x:c r="F7" s="26" t="inlineStr">
        <x:is>
          <x:t xml:space="preserve">Mini Flat Iron</x:t>
        </x:is>
      </x:c>
      <x:c r="G7" s="26" t="inlineStr">
        <x:is>
          <x:t xml:space="preserve">Hot Tools</x:t>
        </x:is>
      </x:c>
      <x:c r="H7" s="26" t="n">
        <x:v>11</x:v>
      </x:c>
      <x:c r="I7" s="26" t="n">
        <x:v>6</x:v>
      </x:c>
      <x:c r="J7" s="32" t="n">
        <x:v>10</x:v>
      </x:c>
      <x:c r="K7" s="32" t="n">
        <x:v>7</x:v>
      </x:c>
      <x:c r="L7" s="32" t="n">
        <x:v>3</x:v>
      </x:c>
      <x:c r="M7" s="32" t="n">
        <x:v>0</x:v>
      </x:c>
      <x:c r="N7" s="26" t="str">
        <x:v>Healthy Stock</x:v>
      </x:c>
      <x:c r="O7" s="26" t="n">
        <x:v>46030</x:v>
      </x:c>
      <x:c r="P7" s="26" t="str">
        <x:v>Sutra Beauty Tools</x:v>
      </x:c>
      <x:c r="Q7" s="32" t="n">
        <x:v>21</x:v>
      </x:c>
      <x:c r="R7" s="32" t="n">
        <x:v>5</x:v>
      </x:c>
      <x:c r="S7" s="28" t="n">
        <x:v>0.89</x:v>
      </x:c>
      <x:c r="T7" s="28" t="n">
        <x:v>0.84</x:v>
      </x:c>
      <x:c r="U7" s="28" t="n">
        <x:v>0.91</x:v>
      </x:c>
      <x:c r="V7" s="30" t="n">
        <x:v>3.25</x:v>
      </x:c>
      <x:c r="W7" s="30" t="n">
        <x:v>0.95</x:v>
      </x:c>
      <x:c r="X7" s="30" t="n">
        <x:v>1.85</x:v>
      </x:c>
    </x:row>
    <x:row r="8">
      <x:c r="A8" s="26" t="inlineStr">
        <x:is>
          <x:t xml:space="preserve">INV-CG-001-SUT-CUR-002</x:t>
        </x:is>
      </x:c>
      <x:c r="B8" s="26" t="inlineStr">
        <x:is>
          <x:t xml:space="preserve">CG-001</x:t>
        </x:is>
      </x:c>
      <x:c r="C8" s="26" t="inlineStr">
        <x:is>
          <x:t xml:space="preserve">Gabriel Samra Coral Gables</x:t>
        </x:is>
      </x:c>
      <x:c r="D8" s="26" t="inlineStr">
        <x:is>
          <x:t xml:space="preserve">Sutra</x:t>
        </x:is>
      </x:c>
      <x:c r="E8" s="26" t="inlineStr">
        <x:is>
          <x:t xml:space="preserve">SUT-CUR-002</x:t>
        </x:is>
      </x:c>
      <x:c r="F8" s="26" t="inlineStr">
        <x:is>
          <x:t xml:space="preserve">Clipless Curling Iron</x:t>
        </x:is>
      </x:c>
      <x:c r="G8" s="26" t="inlineStr">
        <x:is>
          <x:t xml:space="preserve">Hot Tools</x:t>
        </x:is>
      </x:c>
      <x:c r="H8" s="26" t="n">
        <x:v>9</x:v>
      </x:c>
      <x:c r="I8" s="26" t="n">
        <x:v>2</x:v>
      </x:c>
      <x:c r="J8" s="32" t="n">
        <x:v>7</x:v>
      </x:c>
      <x:c r="K8" s="32" t="n">
        <x:v>4</x:v>
      </x:c>
      <x:c r="L8" s="32" t="n">
        <x:v>3</x:v>
      </x:c>
      <x:c r="M8" s="32" t="n">
        <x:v>0</x:v>
      </x:c>
      <x:c r="N8" s="26" t="str">
        <x:v>Healthy Stock</x:v>
      </x:c>
      <x:c r="O8" s="26" t="n">
        <x:v>46029</x:v>
      </x:c>
      <x:c r="P8" s="26" t="str">
        <x:v>Sutra Beauty Tools</x:v>
      </x:c>
      <x:c r="Q8" s="32" t="n">
        <x:v>24</x:v>
      </x:c>
      <x:c r="R8" s="32" t="n">
        <x:v>6</x:v>
      </x:c>
      <x:c r="S8" s="28" t="n">
        <x:v>0.84</x:v>
      </x:c>
      <x:c r="T8" s="28" t="n">
        <x:v>0.8</x:v>
      </x:c>
      <x:c r="U8" s="28" t="n">
        <x:v>0.88</x:v>
      </x:c>
      <x:c r="V8" s="30" t="n">
        <x:v>3.5</x:v>
      </x:c>
      <x:c r="W8" s="30" t="n">
        <x:v>1.05</x:v>
      </x:c>
      <x:c r="X8" s="30" t="n">
        <x:v>2.1</x:v>
      </x:c>
    </x:row>
    <x:row r="9">
      <x:c r="A9" s="26" t="inlineStr">
        <x:is>
          <x:t xml:space="preserve">INV-CG-001-SUT-BLO-003</x:t>
        </x:is>
      </x:c>
      <x:c r="B9" s="26" t="inlineStr">
        <x:is>
          <x:t xml:space="preserve">CG-001</x:t>
        </x:is>
      </x:c>
      <x:c r="C9" s="26" t="inlineStr">
        <x:is>
          <x:t xml:space="preserve">Gabriel Samra Coral Gables</x:t>
        </x:is>
      </x:c>
      <x:c r="D9" s="26" t="inlineStr">
        <x:is>
          <x:t xml:space="preserve">Sutra</x:t>
        </x:is>
      </x:c>
      <x:c r="E9" s="26" t="inlineStr">
        <x:is>
          <x:t xml:space="preserve">SUT-BLO-003</x:t>
        </x:is>
      </x:c>
      <x:c r="F9" s="26" t="inlineStr">
        <x:is>
          <x:t xml:space="preserve">Blowout Brush</x:t>
        </x:is>
      </x:c>
      <x:c r="G9" s="26" t="inlineStr">
        <x:is>
          <x:t xml:space="preserve">Hot Tools</x:t>
        </x:is>
      </x:c>
      <x:c r="H9" s="26" t="n">
        <x:v>7</x:v>
      </x:c>
      <x:c r="I9" s="26" t="n">
        <x:v>5</x:v>
      </x:c>
      <x:c r="J9" s="32" t="n">
        <x:v>9</x:v>
      </x:c>
      <x:c r="K9" s="32" t="n">
        <x:v>3</x:v>
      </x:c>
      <x:c r="L9" s="32" t="n">
        <x:v>3</x:v>
      </x:c>
      <x:c r="M9" s="32" t="n">
        <x:v>0</x:v>
      </x:c>
      <x:c r="N9" s="26" t="str">
        <x:v>Reorder Needed</x:v>
      </x:c>
      <x:c r="O9" s="26" t="n">
        <x:v>46062</x:v>
      </x:c>
      <x:c r="P9" s="26" t="str">
        <x:v>Sutra Beauty Tools</x:v>
      </x:c>
      <x:c r="Q9" s="32" t="n">
        <x:v>22</x:v>
      </x:c>
      <x:c r="R9" s="32" t="n">
        <x:v>5</x:v>
      </x:c>
      <x:c r="S9" s="28" t="n">
        <x:v>0.87</x:v>
      </x:c>
      <x:c r="T9" s="28" t="n">
        <x:v>0.83</x:v>
      </x:c>
      <x:c r="U9" s="28" t="n">
        <x:v>0.9</x:v>
      </x:c>
      <x:c r="V9" s="30" t="n">
        <x:v>3.75</x:v>
      </x:c>
      <x:c r="W9" s="30" t="n">
        <x:v>1.1</x:v>
      </x:c>
      <x:c r="X9" s="30" t="n">
        <x:v>2.25</x:v>
      </x:c>
    </x:row>
    <x:row r="10">
      <x:c r="A10" s="26" t="inlineStr">
        <x:is>
          <x:t xml:space="preserve">INV-CG-001-SUT-DRY-004</x:t>
        </x:is>
      </x:c>
      <x:c r="B10" s="26" t="inlineStr">
        <x:is>
          <x:t xml:space="preserve">CG-001</x:t>
        </x:is>
      </x:c>
      <x:c r="C10" s="26" t="inlineStr">
        <x:is>
          <x:t xml:space="preserve">Gabriel Samra Coral Gables</x:t>
        </x:is>
      </x:c>
      <x:c r="D10" s="26" t="inlineStr">
        <x:is>
          <x:t xml:space="preserve">Sutra</x:t>
        </x:is>
      </x:c>
      <x:c r="E10" s="26" t="inlineStr">
        <x:is>
          <x:t xml:space="preserve">SUT-DRY-004</x:t>
        </x:is>
      </x:c>
      <x:c r="F10" s="26" t="inlineStr">
        <x:is>
          <x:t xml:space="preserve">Professional Hair Dryer</x:t>
        </x:is>
      </x:c>
      <x:c r="G10" s="26" t="inlineStr">
        <x:is>
          <x:t xml:space="preserve">Hot Tools</x:t>
        </x:is>
      </x:c>
      <x:c r="H10" s="26" t="n">
        <x:v>7</x:v>
      </x:c>
      <x:c r="I10" s="26" t="n">
        <x:v>7</x:v>
      </x:c>
      <x:c r="J10" s="32" t="n">
        <x:v>8</x:v>
      </x:c>
      <x:c r="K10" s="32" t="n">
        <x:v>6</x:v>
      </x:c>
      <x:c r="L10" s="32" t="n">
        <x:v>3</x:v>
      </x:c>
      <x:c r="M10" s="32" t="n">
        <x:v>0</x:v>
      </x:c>
      <x:c r="N10" s="26" t="str">
        <x:v>Healthy Stock</x:v>
      </x:c>
      <x:c r="O10" s="26" t="n">
        <x:v>46023</x:v>
      </x:c>
      <x:c r="P10" s="26" t="str">
        <x:v>Sutra Beauty Tools</x:v>
      </x:c>
      <x:c r="Q10" s="32" t="n">
        <x:v>26</x:v>
      </x:c>
      <x:c r="R10" s="32" t="n">
        <x:v>7</x:v>
      </x:c>
      <x:c r="S10" s="28" t="n">
        <x:v>0.79</x:v>
      </x:c>
      <x:c r="T10" s="28" t="n">
        <x:v>0.74</x:v>
      </x:c>
      <x:c r="U10" s="28" t="n">
        <x:v>0.82</x:v>
      </x:c>
      <x:c r="V10" s="30" t="n">
        <x:v>4.2</x:v>
      </x:c>
      <x:c r="W10" s="30" t="n">
        <x:v>1.25</x:v>
      </x:c>
      <x:c r="X10" s="30" t="n">
        <x:v>2.6</x:v>
      </x:c>
    </x:row>
    <x:row r="11">
      <x:c r="A11" s="26" t="inlineStr">
        <x:is>
          <x:t xml:space="preserve">INV-CG-001-SUT-HSP-005</x:t>
        </x:is>
      </x:c>
      <x:c r="B11" s="26" t="inlineStr">
        <x:is>
          <x:t xml:space="preserve">CG-001</x:t>
        </x:is>
      </x:c>
      <x:c r="C11" s="26" t="inlineStr">
        <x:is>
          <x:t xml:space="preserve">Gabriel Samra Coral Gables</x:t>
        </x:is>
      </x:c>
      <x:c r="D11" s="26" t="inlineStr">
        <x:is>
          <x:t xml:space="preserve">Sutra</x:t>
        </x:is>
      </x:c>
      <x:c r="E11" s="26" t="inlineStr">
        <x:is>
          <x:t xml:space="preserve">SUT-HSP-005</x:t>
        </x:is>
      </x:c>
      <x:c r="F11" s="26" t="inlineStr">
        <x:is>
          <x:t xml:space="preserve">Heat Spray</x:t>
        </x:is>
      </x:c>
      <x:c r="G11" s="26" t="inlineStr">
        <x:is>
          <x:t xml:space="preserve">Styling</x:t>
        </x:is>
      </x:c>
      <x:c r="H11" s="26" t="n">
        <x:v>10</x:v>
      </x:c>
      <x:c r="I11" s="26" t="n">
        <x:v>8</x:v>
      </x:c>
      <x:c r="J11" s="32" t="n">
        <x:v>12</x:v>
      </x:c>
      <x:c r="K11" s="32" t="n">
        <x:v>6</x:v>
      </x:c>
      <x:c r="L11" s="32" t="n">
        <x:v>3</x:v>
      </x:c>
      <x:c r="M11" s="32" t="n">
        <x:v>0</x:v>
      </x:c>
      <x:c r="N11" s="26" t="str">
        <x:v>Healthy Stock</x:v>
      </x:c>
      <x:c r="O11" s="26" t="n">
        <x:v>46058</x:v>
      </x:c>
      <x:c r="P11" s="26" t="str">
        <x:v>Sutra Beauty Tools</x:v>
      </x:c>
      <x:c r="Q11" s="32" t="n">
        <x:v>15</x:v>
      </x:c>
      <x:c r="R11" s="32" t="n">
        <x:v>4</x:v>
      </x:c>
      <x:c r="S11" s="28" t="n">
        <x:v>0.92</x:v>
      </x:c>
      <x:c r="T11" s="28" t="n">
        <x:v>0.9</x:v>
      </x:c>
      <x:c r="U11" s="28" t="n">
        <x:v>0.95</x:v>
      </x:c>
      <x:c r="V11" s="30" t="n">
        <x:v>1.6</x:v>
      </x:c>
      <x:c r="W11" s="30" t="n">
        <x:v>0.4</x:v>
      </x:c>
      <x:c r="X11" s="30" t="n">
        <x:v>0.95</x:v>
      </x:c>
    </x:row>
    <x:row r="12">
      <x:c r="A12" s="26" t="inlineStr">
        <x:is>
          <x:t xml:space="preserve">INV-DR-001-TRU-SHP-001</x:t>
        </x:is>
      </x:c>
      <x:c r="B12" s="26" t="inlineStr">
        <x:is>
          <x:t xml:space="preserve">DR-001</x:t>
        </x:is>
      </x:c>
      <x:c r="C12" s="26" t="inlineStr">
        <x:is>
          <x:t xml:space="preserve">Gabriel Samra Doral</x:t>
        </x:is>
      </x:c>
      <x:c r="D12" s="26" t="inlineStr">
        <x:is>
          <x:t xml:space="preserve">Truss</x:t>
        </x:is>
      </x:c>
      <x:c r="E12" s="26" t="inlineStr">
        <x:is>
          <x:t xml:space="preserve">TRU-SHP-001</x:t>
        </x:is>
      </x:c>
      <x:c r="F12" s="26" t="inlineStr">
        <x:is>
          <x:t xml:space="preserve">Infusion Shampoo</x:t>
        </x:is>
      </x:c>
      <x:c r="G12" s="26" t="inlineStr">
        <x:is>
          <x:t xml:space="preserve">Hair Care</x:t>
        </x:is>
      </x:c>
      <x:c r="H12" s="26" t="n">
        <x:v>22</x:v>
      </x:c>
      <x:c r="I12" s="26" t="n">
        <x:v>22</x:v>
      </x:c>
      <x:c r="J12" s="32" t="n">
        <x:v>33</x:v>
      </x:c>
      <x:c r="K12" s="32" t="n">
        <x:v>11</x:v>
      </x:c>
      <x:c r="L12" s="32" t="n">
        <x:v>8</x:v>
      </x:c>
      <x:c r="M12" s="32" t="n">
        <x:v>0</x:v>
      </x:c>
      <x:c r="N12" s="26" t="str">
        <x:v>Healthy Stock</x:v>
      </x:c>
      <x:c r="O12" s="26" t="n">
        <x:v>46070</x:v>
      </x:c>
      <x:c r="P12" s="26" t="str">
        <x:v>Truss Professional</x:v>
      </x:c>
      <x:c r="Q12" s="32" t="n">
        <x:v>12</x:v>
      </x:c>
      <x:c r="R12" s="32" t="n">
        <x:v>2</x:v>
      </x:c>
      <x:c r="S12" s="28" t="n">
        <x:v>0.95</x:v>
      </x:c>
      <x:c r="T12" s="28" t="n">
        <x:v>0.93</x:v>
      </x:c>
      <x:c r="U12" s="28" t="n">
        <x:v>0.97</x:v>
      </x:c>
      <x:c r="V12" s="30" t="n">
        <x:v>1.1</x:v>
      </x:c>
      <x:c r="W12" s="30" t="n">
        <x:v>0.35</x:v>
      </x:c>
      <x:c r="X12" s="30" t="n">
        <x:v>0.7</x:v>
      </x:c>
    </x:row>
    <x:row r="13">
      <x:c r="A13" s="26" t="inlineStr">
        <x:is>
          <x:t xml:space="preserve">INV-DR-001-TRU-CND-002</x:t>
        </x:is>
      </x:c>
      <x:c r="B13" s="26" t="inlineStr">
        <x:is>
          <x:t xml:space="preserve">DR-001</x:t>
        </x:is>
      </x:c>
      <x:c r="C13" s="26" t="inlineStr">
        <x:is>
          <x:t xml:space="preserve">Gabriel Samra Doral</x:t>
        </x:is>
      </x:c>
      <x:c r="D13" s="26" t="inlineStr">
        <x:is>
          <x:t xml:space="preserve">Truss</x:t>
        </x:is>
      </x:c>
      <x:c r="E13" s="26" t="inlineStr">
        <x:is>
          <x:t xml:space="preserve">TRU-CND-002</x:t>
        </x:is>
      </x:c>
      <x:c r="F13" s="26" t="inlineStr">
        <x:is>
          <x:t xml:space="preserve">Infusion Conditioner</x:t>
        </x:is>
      </x:c>
      <x:c r="G13" s="26" t="inlineStr">
        <x:is>
          <x:t xml:space="preserve">Hair Care</x:t>
        </x:is>
      </x:c>
      <x:c r="H13" s="26" t="n">
        <x:v>27</x:v>
      </x:c>
      <x:c r="I13" s="26" t="n">
        <x:v>26</x:v>
      </x:c>
      <x:c r="J13" s="32" t="n">
        <x:v>41</x:v>
      </x:c>
      <x:c r="K13" s="32" t="n">
        <x:v>12</x:v>
      </x:c>
      <x:c r="L13" s="32" t="n">
        <x:v>8</x:v>
      </x:c>
      <x:c r="M13" s="32" t="n">
        <x:v>0</x:v>
      </x:c>
      <x:c r="N13" s="26" t="str">
        <x:v>Healthy Stock</x:v>
      </x:c>
      <x:c r="O13" s="26" t="n">
        <x:v>46084</x:v>
      </x:c>
      <x:c r="P13" s="26" t="str">
        <x:v>Truss Professional</x:v>
      </x:c>
      <x:c r="Q13" s="32" t="n">
        <x:v>15</x:v>
      </x:c>
      <x:c r="R13" s="32" t="n">
        <x:v>3</x:v>
      </x:c>
      <x:c r="S13" s="28" t="n">
        <x:v>0.9</x:v>
      </x:c>
      <x:c r="T13" s="28" t="n">
        <x:v>0.86</x:v>
      </x:c>
      <x:c r="U13" s="28" t="n">
        <x:v>0.92</x:v>
      </x:c>
      <x:c r="V13" s="30" t="n">
        <x:v>1.18</x:v>
      </x:c>
      <x:c r="W13" s="30" t="n">
        <x:v>0.36</x:v>
      </x:c>
      <x:c r="X13" s="30" t="n">
        <x:v>0.74</x:v>
      </x:c>
    </x:row>
    <x:row r="14">
      <x:c r="A14" s="26" t="inlineStr">
        <x:is>
          <x:t xml:space="preserve">INV-DR-001-TRU-MSK-003</x:t>
        </x:is>
      </x:c>
      <x:c r="B14" s="26" t="inlineStr">
        <x:is>
          <x:t xml:space="preserve">DR-001</x:t>
        </x:is>
      </x:c>
      <x:c r="C14" s="26" t="inlineStr">
        <x:is>
          <x:t xml:space="preserve">Gabriel Samra Doral</x:t>
        </x:is>
      </x:c>
      <x:c r="D14" s="26" t="inlineStr">
        <x:is>
          <x:t xml:space="preserve">Truss</x:t>
        </x:is>
      </x:c>
      <x:c r="E14" s="26" t="inlineStr">
        <x:is>
          <x:t xml:space="preserve">TRU-MSK-003</x:t>
        </x:is>
      </x:c>
      <x:c r="F14" s="26" t="inlineStr">
        <x:is>
          <x:t xml:space="preserve">Net Mask</x:t>
        </x:is>
      </x:c>
      <x:c r="G14" s="26" t="inlineStr">
        <x:is>
          <x:t xml:space="preserve">Treatment</x:t>
        </x:is>
      </x:c>
      <x:c r="H14" s="26" t="n">
        <x:v>22</x:v>
      </x:c>
      <x:c r="I14" s="26" t="n">
        <x:v>28</x:v>
      </x:c>
      <x:c r="J14" s="32" t="n">
        <x:v>39</x:v>
      </x:c>
      <x:c r="K14" s="32" t="n">
        <x:v>11</x:v>
      </x:c>
      <x:c r="L14" s="32" t="n">
        <x:v>8</x:v>
      </x:c>
      <x:c r="M14" s="32" t="n">
        <x:v>0</x:v>
      </x:c>
      <x:c r="N14" s="26" t="str">
        <x:v>Healthy Stock</x:v>
      </x:c>
      <x:c r="O14" s="26" t="n">
        <x:v>46036</x:v>
      </x:c>
      <x:c r="P14" s="26" t="str">
        <x:v>Truss Professional</x:v>
      </x:c>
      <x:c r="Q14" s="32" t="n">
        <x:v>17</x:v>
      </x:c>
      <x:c r="R14" s="32" t="n">
        <x:v>4</x:v>
      </x:c>
      <x:c r="S14" s="28" t="n">
        <x:v>0.85</x:v>
      </x:c>
      <x:c r="T14" s="28" t="n">
        <x:v>0.81</x:v>
      </x:c>
      <x:c r="U14" s="28" t="n">
        <x:v>0.88</x:v>
      </x:c>
      <x:c r="V14" s="30" t="n">
        <x:v>1.32</x:v>
      </x:c>
      <x:c r="W14" s="30" t="n">
        <x:v>0.43</x:v>
      </x:c>
      <x:c r="X14" s="30" t="n">
        <x:v>0.86</x:v>
      </x:c>
    </x:row>
    <x:row r="15">
      <x:c r="A15" s="26" t="inlineStr">
        <x:is>
          <x:t xml:space="preserve">INV-DR-001-TRU-OIL-004</x:t>
        </x:is>
      </x:c>
      <x:c r="B15" s="26" t="inlineStr">
        <x:is>
          <x:t xml:space="preserve">DR-001</x:t>
        </x:is>
      </x:c>
      <x:c r="C15" s="26" t="inlineStr">
        <x:is>
          <x:t xml:space="preserve">Gabriel Samra Doral</x:t>
        </x:is>
      </x:c>
      <x:c r="D15" s="26" t="inlineStr">
        <x:is>
          <x:t xml:space="preserve">Truss</x:t>
        </x:is>
      </x:c>
      <x:c r="E15" s="26" t="inlineStr">
        <x:is>
          <x:t xml:space="preserve">TRU-OIL-004</x:t>
        </x:is>
      </x:c>
      <x:c r="F15" s="26" t="inlineStr">
        <x:is>
          <x:t xml:space="preserve">Deluxe Prime Oil</x:t>
        </x:is>
      </x:c>
      <x:c r="G15" s="26" t="inlineStr">
        <x:is>
          <x:t xml:space="preserve">Finishing</x:t>
        </x:is>
      </x:c>
      <x:c r="H15" s="26" t="n">
        <x:v>10</x:v>
      </x:c>
      <x:c r="I15" s="26" t="n">
        <x:v>19</x:v>
      </x:c>
      <x:c r="J15" s="32" t="n">
        <x:v>27</x:v>
      </x:c>
      <x:c r="K15" s="32" t="n">
        <x:v>2</x:v>
      </x:c>
      <x:c r="L15" s="32" t="n">
        <x:v>8</x:v>
      </x:c>
      <x:c r="M15" s="32" t="n">
        <x:v>6</x:v>
      </x:c>
      <x:c r="N15" s="26" t="str">
        <x:v>Reorder Needed</x:v>
      </x:c>
      <x:c r="O15" s="26" t="n">
        <x:v>46033</x:v>
      </x:c>
      <x:c r="P15" s="26" t="str">
        <x:v>Truss Professional</x:v>
      </x:c>
      <x:c r="Q15" s="32" t="n">
        <x:v>18</x:v>
      </x:c>
      <x:c r="R15" s="32" t="n">
        <x:v>5</x:v>
      </x:c>
      <x:c r="S15" s="28" t="n">
        <x:v>0.82</x:v>
      </x:c>
      <x:c r="T15" s="28" t="n">
        <x:v>0.77</x:v>
      </x:c>
      <x:c r="U15" s="28" t="n">
        <x:v>0.85</x:v>
      </x:c>
      <x:c r="V15" s="30" t="n">
        <x:v>1.45</x:v>
      </x:c>
      <x:c r="W15" s="30" t="n">
        <x:v>0.46</x:v>
      </x:c>
      <x:c r="X15" s="30" t="n">
        <x:v>0.92</x:v>
      </x:c>
    </x:row>
    <x:row r="16">
      <x:c r="A16" s="26" t="inlineStr">
        <x:is>
          <x:t xml:space="preserve">INV-DR-001-TRU-SER-005</x:t>
        </x:is>
      </x:c>
      <x:c r="B16" s="26" t="inlineStr">
        <x:is>
          <x:t xml:space="preserve">DR-001</x:t>
        </x:is>
      </x:c>
      <x:c r="C16" s="26" t="inlineStr">
        <x:is>
          <x:t xml:space="preserve">Gabriel Samra Doral</x:t>
        </x:is>
      </x:c>
      <x:c r="D16" s="26" t="inlineStr">
        <x:is>
          <x:t xml:space="preserve">Truss</x:t>
        </x:is>
      </x:c>
      <x:c r="E16" s="26" t="inlineStr">
        <x:is>
          <x:t xml:space="preserve">TRU-SER-005</x:t>
        </x:is>
      </x:c>
      <x:c r="F16" s="26" t="inlineStr">
        <x:is>
          <x:t xml:space="preserve">Night Spa Serum</x:t>
        </x:is>
      </x:c>
      <x:c r="G16" s="26" t="inlineStr">
        <x:is>
          <x:t xml:space="preserve">Treatment</x:t>
        </x:is>
      </x:c>
      <x:c r="H16" s="26" t="n">
        <x:v>28</x:v>
      </x:c>
      <x:c r="I16" s="26" t="n">
        <x:v>18</x:v>
      </x:c>
      <x:c r="J16" s="32" t="n">
        <x:v>35</x:v>
      </x:c>
      <x:c r="K16" s="32" t="n">
        <x:v>11</x:v>
      </x:c>
      <x:c r="L16" s="32" t="n">
        <x:v>8</x:v>
      </x:c>
      <x:c r="M16" s="32" t="n">
        <x:v>0</x:v>
      </x:c>
      <x:c r="N16" s="26" t="str">
        <x:v>Healthy Stock</x:v>
      </x:c>
      <x:c r="O16" s="26" t="n">
        <x:v>46155</x:v>
      </x:c>
      <x:c r="P16" s="26" t="str">
        <x:v>Truss Professional</x:v>
      </x:c>
      <x:c r="Q16" s="32" t="n">
        <x:v>16</x:v>
      </x:c>
      <x:c r="R16" s="32" t="n">
        <x:v>4</x:v>
      </x:c>
      <x:c r="S16" s="28" t="n">
        <x:v>0.88</x:v>
      </x:c>
      <x:c r="T16" s="28" t="n">
        <x:v>0.84</x:v>
      </x:c>
      <x:c r="U16" s="28" t="n">
        <x:v>0.9</x:v>
      </x:c>
      <x:c r="V16" s="30" t="n">
        <x:v>1.38</x:v>
      </x:c>
      <x:c r="W16" s="30" t="n">
        <x:v>0.44</x:v>
      </x:c>
      <x:c r="X16" s="30" t="n">
        <x:v>0.88</x:v>
      </x:c>
    </x:row>
    <x:row r="17">
      <x:c r="A17" s="26" t="inlineStr">
        <x:is>
          <x:t xml:space="preserve">INV-DR-001-SUT-FIR-001</x:t>
        </x:is>
      </x:c>
      <x:c r="B17" s="26" t="inlineStr">
        <x:is>
          <x:t xml:space="preserve">DR-001</x:t>
        </x:is>
      </x:c>
      <x:c r="C17" s="26" t="inlineStr">
        <x:is>
          <x:t xml:space="preserve">Gabriel Samra Doral</x:t>
        </x:is>
      </x:c>
      <x:c r="D17" s="26" t="inlineStr">
        <x:is>
          <x:t xml:space="preserve">Sutra</x:t>
        </x:is>
      </x:c>
      <x:c r="E17" s="26" t="inlineStr">
        <x:is>
          <x:t xml:space="preserve">SUT-FIR-001</x:t>
        </x:is>
      </x:c>
      <x:c r="F17" s="26" t="inlineStr">
        <x:is>
          <x:t xml:space="preserve">Mini Flat Iron</x:t>
        </x:is>
      </x:c>
      <x:c r="G17" s="26" t="inlineStr">
        <x:is>
          <x:t xml:space="preserve">Hot Tools</x:t>
        </x:is>
      </x:c>
      <x:c r="H17" s="26" t="n">
        <x:v>9</x:v>
      </x:c>
      <x:c r="I17" s="26" t="n">
        <x:v>6</x:v>
      </x:c>
      <x:c r="J17" s="32" t="n">
        <x:v>8</x:v>
      </x:c>
      <x:c r="K17" s="32" t="n">
        <x:v>7</x:v>
      </x:c>
      <x:c r="L17" s="32" t="n">
        <x:v>3</x:v>
      </x:c>
      <x:c r="M17" s="32" t="n">
        <x:v>0</x:v>
      </x:c>
      <x:c r="N17" s="26" t="str">
        <x:v>Healthy Stock</x:v>
      </x:c>
      <x:c r="O17" s="26" t="n">
        <x:v>46035</x:v>
      </x:c>
      <x:c r="P17" s="26" t="str">
        <x:v>Sutra Beauty Tools</x:v>
      </x:c>
      <x:c r="Q17" s="32" t="n">
        <x:v>20</x:v>
      </x:c>
      <x:c r="R17" s="32" t="n">
        <x:v>5</x:v>
      </x:c>
      <x:c r="S17" s="28" t="n">
        <x:v>0.9</x:v>
      </x:c>
      <x:c r="T17" s="28" t="n">
        <x:v>0.86</x:v>
      </x:c>
      <x:c r="U17" s="28" t="n">
        <x:v>0.92</x:v>
      </x:c>
      <x:c r="V17" s="30" t="n">
        <x:v>3.2</x:v>
      </x:c>
      <x:c r="W17" s="30" t="n">
        <x:v>0.95</x:v>
      </x:c>
      <x:c r="X17" s="30" t="n">
        <x:v>1.85</x:v>
      </x:c>
    </x:row>
    <x:row r="18">
      <x:c r="A18" s="26" t="inlineStr">
        <x:is>
          <x:t xml:space="preserve">INV-DR-001-SUT-CUR-002</x:t>
        </x:is>
      </x:c>
      <x:c r="B18" s="26" t="inlineStr">
        <x:is>
          <x:t xml:space="preserve">DR-001</x:t>
        </x:is>
      </x:c>
      <x:c r="C18" s="26" t="inlineStr">
        <x:is>
          <x:t xml:space="preserve">Gabriel Samra Doral</x:t>
        </x:is>
      </x:c>
      <x:c r="D18" s="26" t="inlineStr">
        <x:is>
          <x:t xml:space="preserve">Sutra</x:t>
        </x:is>
      </x:c>
      <x:c r="E18" s="26" t="inlineStr">
        <x:is>
          <x:t xml:space="preserve">SUT-CUR-002</x:t>
        </x:is>
      </x:c>
      <x:c r="F18" s="26" t="inlineStr">
        <x:is>
          <x:t xml:space="preserve">Clipless Curling Iron</x:t>
        </x:is>
      </x:c>
      <x:c r="G18" s="26" t="inlineStr">
        <x:is>
          <x:t xml:space="preserve">Hot Tools</x:t>
        </x:is>
      </x:c>
      <x:c r="H18" s="26" t="n">
        <x:v>3</x:v>
      </x:c>
      <x:c r="I18" s="26" t="n">
        <x:v>7</x:v>
      </x:c>
      <x:c r="J18" s="32" t="n">
        <x:v>6</x:v>
      </x:c>
      <x:c r="K18" s="32" t="n">
        <x:v>4</x:v>
      </x:c>
      <x:c r="L18" s="32" t="n">
        <x:v>3</x:v>
      </x:c>
      <x:c r="M18" s="32" t="n">
        <x:v>0</x:v>
      </x:c>
      <x:c r="N18" s="26" t="str">
        <x:v>Healthy Stock</x:v>
      </x:c>
      <x:c r="O18" s="26" t="n">
        <x:v>46073</x:v>
      </x:c>
      <x:c r="P18" s="26" t="str">
        <x:v>Sutra Beauty Tools</x:v>
      </x:c>
      <x:c r="Q18" s="32" t="n">
        <x:v>25</x:v>
      </x:c>
      <x:c r="R18" s="32" t="n">
        <x:v>7</x:v>
      </x:c>
      <x:c r="S18" s="28" t="n">
        <x:v>0.8</x:v>
      </x:c>
      <x:c r="T18" s="28" t="n">
        <x:v>0.75</x:v>
      </x:c>
      <x:c r="U18" s="28" t="n">
        <x:v>0.83</x:v>
      </x:c>
      <x:c r="V18" s="30" t="n">
        <x:v>3.6</x:v>
      </x:c>
      <x:c r="W18" s="30" t="n">
        <x:v>1.08</x:v>
      </x:c>
      <x:c r="X18" s="30" t="n">
        <x:v>2.2</x:v>
      </x:c>
    </x:row>
    <x:row r="19">
      <x:c r="A19" s="26" t="inlineStr">
        <x:is>
          <x:t xml:space="preserve">INV-DR-001-SUT-BLO-003</x:t>
        </x:is>
      </x:c>
      <x:c r="B19" s="26" t="inlineStr">
        <x:is>
          <x:t xml:space="preserve">DR-001</x:t>
        </x:is>
      </x:c>
      <x:c r="C19" s="26" t="inlineStr">
        <x:is>
          <x:t xml:space="preserve">Gabriel Samra Doral</x:t>
        </x:is>
      </x:c>
      <x:c r="D19" s="26" t="inlineStr">
        <x:is>
          <x:t xml:space="preserve">Sutra</x:t>
        </x:is>
      </x:c>
      <x:c r="E19" s="26" t="inlineStr">
        <x:is>
          <x:t xml:space="preserve">SUT-BLO-003</x:t>
        </x:is>
      </x:c>
      <x:c r="F19" s="26" t="inlineStr">
        <x:is>
          <x:t xml:space="preserve">Blowout Brush</x:t>
        </x:is>
      </x:c>
      <x:c r="G19" s="26" t="inlineStr">
        <x:is>
          <x:t xml:space="preserve">Hot Tools</x:t>
        </x:is>
      </x:c>
      <x:c r="H19" s="26" t="n">
        <x:v>10</x:v>
      </x:c>
      <x:c r="I19" s="26" t="n">
        <x:v>7</x:v>
      </x:c>
      <x:c r="J19" s="32" t="n">
        <x:v>12</x:v>
      </x:c>
      <x:c r="K19" s="32" t="n">
        <x:v>5</x:v>
      </x:c>
      <x:c r="L19" s="32" t="n">
        <x:v>3</x:v>
      </x:c>
      <x:c r="M19" s="32" t="n">
        <x:v>0</x:v>
      </x:c>
      <x:c r="N19" s="26" t="str">
        <x:v>Healthy Stock</x:v>
      </x:c>
      <x:c r="O19" s="26" t="n">
        <x:v>46036</x:v>
      </x:c>
      <x:c r="P19" s="26" t="str">
        <x:v>Sutra Beauty Tools</x:v>
      </x:c>
      <x:c r="Q19" s="32" t="n">
        <x:v>23</x:v>
      </x:c>
      <x:c r="R19" s="32" t="n">
        <x:v>6</x:v>
      </x:c>
      <x:c r="S19" s="28" t="n">
        <x:v>0.86</x:v>
      </x:c>
      <x:c r="T19" s="28" t="n">
        <x:v>0.82</x:v>
      </x:c>
      <x:c r="U19" s="28" t="n">
        <x:v>0.89</x:v>
      </x:c>
      <x:c r="V19" s="30" t="n">
        <x:v>3.8</x:v>
      </x:c>
      <x:c r="W19" s="30" t="n">
        <x:v>1.12</x:v>
      </x:c>
      <x:c r="X19" s="30" t="n">
        <x:v>2.3</x:v>
      </x:c>
    </x:row>
    <x:row r="20">
      <x:c r="A20" s="26" t="inlineStr">
        <x:is>
          <x:t xml:space="preserve">INV-DR-001-SUT-DRY-004</x:t>
        </x:is>
      </x:c>
      <x:c r="B20" s="26" t="inlineStr">
        <x:is>
          <x:t xml:space="preserve">DR-001</x:t>
        </x:is>
      </x:c>
      <x:c r="C20" s="26" t="inlineStr">
        <x:is>
          <x:t xml:space="preserve">Gabriel Samra Doral</x:t>
        </x:is>
      </x:c>
      <x:c r="D20" s="26" t="inlineStr">
        <x:is>
          <x:t xml:space="preserve">Sutra</x:t>
        </x:is>
      </x:c>
      <x:c r="E20" s="26" t="inlineStr">
        <x:is>
          <x:t xml:space="preserve">SUT-DRY-004</x:t>
        </x:is>
      </x:c>
      <x:c r="F20" s="26" t="inlineStr">
        <x:is>
          <x:t xml:space="preserve">Professional Hair Dryer</x:t>
        </x:is>
      </x:c>
      <x:c r="G20" s="26" t="inlineStr">
        <x:is>
          <x:t xml:space="preserve">Hot Tools</x:t>
        </x:is>
      </x:c>
      <x:c r="H20" s="26" t="n">
        <x:v>4</x:v>
      </x:c>
      <x:c r="I20" s="26" t="n">
        <x:v>5</x:v>
      </x:c>
      <x:c r="J20" s="32" t="n">
        <x:v>8</x:v>
      </x:c>
      <x:c r="K20" s="32" t="n">
        <x:v>1</x:v>
      </x:c>
      <x:c r="L20" s="32" t="n">
        <x:v>3</x:v>
      </x:c>
      <x:c r="M20" s="32" t="n">
        <x:v>2</x:v>
      </x:c>
      <x:c r="N20" s="26" t="str">
        <x:v>Reorder Needed</x:v>
      </x:c>
      <x:c r="O20" s="26" t="n">
        <x:v>46131</x:v>
      </x:c>
      <x:c r="P20" s="26" t="str">
        <x:v>Sutra Beauty Tools</x:v>
      </x:c>
      <x:c r="Q20" s="32" t="n">
        <x:v>27</x:v>
      </x:c>
      <x:c r="R20" s="32" t="n">
        <x:v>8</x:v>
      </x:c>
      <x:c r="S20" s="28" t="n">
        <x:v>0.77</x:v>
      </x:c>
      <x:c r="T20" s="28" t="n">
        <x:v>0.72</x:v>
      </x:c>
      <x:c r="U20" s="28" t="n">
        <x:v>0.8</x:v>
      </x:c>
      <x:c r="V20" s="30" t="n">
        <x:v>4.3</x:v>
      </x:c>
      <x:c r="W20" s="30" t="n">
        <x:v>1.3</x:v>
      </x:c>
      <x:c r="X20" s="30" t="n">
        <x:v>2.75</x:v>
      </x:c>
    </x:row>
    <x:row r="21">
      <x:c r="A21" s="26" t="inlineStr">
        <x:is>
          <x:t xml:space="preserve">INV-DR-001-SUT-HSP-005</x:t>
        </x:is>
      </x:c>
      <x:c r="B21" s="26" t="inlineStr">
        <x:is>
          <x:t xml:space="preserve">DR-001</x:t>
        </x:is>
      </x:c>
      <x:c r="C21" s="26" t="inlineStr">
        <x:is>
          <x:t xml:space="preserve">Gabriel Samra Doral</x:t>
        </x:is>
      </x:c>
      <x:c r="D21" s="26" t="inlineStr">
        <x:is>
          <x:t xml:space="preserve">Sutra</x:t>
        </x:is>
      </x:c>
      <x:c r="E21" s="26" t="inlineStr">
        <x:is>
          <x:t xml:space="preserve">SUT-HSP-005</x:t>
        </x:is>
      </x:c>
      <x:c r="F21" s="26" t="inlineStr">
        <x:is>
          <x:t xml:space="preserve">Heat Spray</x:t>
        </x:is>
      </x:c>
      <x:c r="G21" s="26" t="inlineStr">
        <x:is>
          <x:t xml:space="preserve">Styling</x:t>
        </x:is>
      </x:c>
      <x:c r="H21" s="26" t="n">
        <x:v>9</x:v>
      </x:c>
      <x:c r="I21" s="26" t="n">
        <x:v>10</x:v>
      </x:c>
      <x:c r="J21" s="32" t="n">
        <x:v>14</x:v>
      </x:c>
      <x:c r="K21" s="32" t="n">
        <x:v>5</x:v>
      </x:c>
      <x:c r="L21" s="32" t="n">
        <x:v>3</x:v>
      </x:c>
      <x:c r="M21" s="32" t="n">
        <x:v>0</x:v>
      </x:c>
      <x:c r="N21" s="26" t="str">
        <x:v>Healthy Stock</x:v>
      </x:c>
      <x:c r="O21" s="26" t="n">
        <x:v>46035</x:v>
      </x:c>
      <x:c r="P21" s="26" t="str">
        <x:v>Sutra Beauty Tools</x:v>
      </x:c>
      <x:c r="Q21" s="32" t="n">
        <x:v>16</x:v>
      </x:c>
      <x:c r="R21" s="32" t="n">
        <x:v>4</x:v>
      </x:c>
      <x:c r="S21" s="28" t="n">
        <x:v>0.91</x:v>
      </x:c>
      <x:c r="T21" s="28" t="n">
        <x:v>0.88</x:v>
      </x:c>
      <x:c r="U21" s="28" t="n">
        <x:v>0.94</x:v>
      </x:c>
      <x:c r="V21" s="30" t="n">
        <x:v>1.65</x:v>
      </x:c>
      <x:c r="W21" s="30" t="n">
        <x:v>0.42</x:v>
      </x:c>
      <x:c r="X21" s="30" t="n">
        <x:v>0.98</x:v>
      </x:c>
    </x:row>
  </x:sheetData>
  <x:conditionalFormatting sqref="N2:N100">
    <x:cfRule type="expression" dxfId="2" priority="1">
      <x:formula>$N2="Reorder Needed"</x:formula>
    </x:cfRule>
    <x:cfRule type="expression" dxfId="1" priority="2">
      <x:formula>$N2="Watch"</x:formula>
    </x:cfRule>
    <x:cfRule type="expression" dxfId="0" priority="3">
      <x:formula>$N2="Healthy"</x:formula>
    </x:cfRule>
  </x:conditionalFormatting>
  <x:conditionalFormatting sqref="N2:N21">
    <x:cfRule type="expression" dxfId="3" priority="4">
      <x:formula>$N2="Reorder Needed"</x:formula>
    </x:cfRule>
    <x:cfRule type="expression" dxfId="4" priority="5">
      <x:formula>$N2="Healthy Stock"</x:formula>
    </x:cfRule>
  </x:conditionalFormatting>
  <x:conditionalFormatting sqref="S2:U21">
    <x:cfRule type="colorScale" priority="6">
      <x:colorScale>
        <x:cfvo type="min"/>
        <x:cfvo type="percentile" val="50"/>
        <x:cfvo type="max"/>
        <x:color rgb="FECACA"/>
        <x:color rgb="FEF3C7"/>
        <x:color rgb="DCFCE7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42eeef8eba6e4199"/>
  </x:tableParts>
</x:worksheet>
</file>

<file path=xl/worksheets/sheet4.xml><?xml version="1.0" encoding="utf-8"?>
<x:worksheet xmlns:x="http://schemas.openxmlformats.org/spreadsheetml/2006/main">
  <x:sheetFormatPr baseColWidth="10" defaultColWidth="8.83203125" defaultRowHeight="15"/>
  <x:cols>
    <x:col min="1" max="1" width="9.6640625" customWidth="1"/>
    <x:col min="2" max="2" width="21.6640625" customWidth="1"/>
    <x:col min="3" max="3" width="10" customWidth="1"/>
    <x:col min="4" max="4" width="11.5" customWidth="1"/>
    <x:col min="5" max="5" width="12" customWidth="1"/>
    <x:col min="6" max="6" width="42" customWidth="1"/>
  </x:cols>
  <x:sheetData>
    <x:row r="1" ht="37.25" customHeight="1">
      <x:c r="A1" s="1" t="inlineStr">
        <x:is>
          <x:t xml:space="preserve">Store_ID</x:t>
        </x:is>
      </x:c>
      <x:c r="B1" s="1" t="inlineStr">
        <x:is>
          <x:t xml:space="preserve">Salon_Location</x:t>
        </x:is>
      </x:c>
      <x:c r="C1" s="1" t="inlineStr">
        <x:is>
          <x:t xml:space="preserve">City</x:t>
        </x:is>
      </x:c>
      <x:c r="D1" s="1" t="inlineStr">
        <x:is>
          <x:t xml:space="preserve">Channel</x:t>
        </x:is>
      </x:c>
      <x:c r="E1" s="1" t="inlineStr">
        <x:is>
          <x:t xml:space="preserve">Manager</x:t>
        </x:is>
      </x:c>
      <x:c r="F1" s="1" t="inlineStr">
        <x:is>
          <x:t xml:space="preserve">Notes</x:t>
        </x:is>
      </x:c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  <x:c r="S1" s="1" t="n"/>
      <x:c r="T1" s="1" t="n"/>
      <x:c r="U1" s="1" t="n"/>
      <x:c r="V1" s="1" t="n"/>
      <x:c r="W1" s="1" t="n"/>
      <x:c r="X1" s="1" t="n"/>
      <x:c r="Y1" s="1" t="n"/>
      <x:c r="Z1" s="1" t="n"/>
    </x:row>
    <x:row r="2">
      <x:c r="A2" t="inlineStr">
        <x:is>
          <x:t xml:space="preserve">CG-001</x:t>
        </x:is>
      </x:c>
      <x:c r="B2" t="inlineStr">
        <x:is>
          <x:t xml:space="preserve">Gabriel Samra Coral Gables</x:t>
        </x:is>
      </x:c>
      <x:c r="C2" t="inlineStr">
        <x:is>
          <x:t xml:space="preserve">Coral Gables</x:t>
        </x:is>
      </x:c>
      <x:c r="D2" t="inlineStr">
        <x:is>
          <x:t xml:space="preserve">In-Salon Retail</x:t>
        </x:is>
      </x:c>
      <x:c r="E2" t="inlineStr">
        <x:is>
          <x:t xml:space="preserve">Salon Manager</x:t>
        </x:is>
      </x:c>
      <x:c r="F2" t="inlineStr">
        <x:is>
          <x:t xml:space="preserve">Retail sales at front desk and stylist recommendation</x:t>
        </x:is>
      </x:c>
    </x:row>
    <x:row r="3">
      <x:c r="A3" t="inlineStr">
        <x:is>
          <x:t xml:space="preserve">DR-001</x:t>
        </x:is>
      </x:c>
      <x:c r="B3" t="inlineStr">
        <x:is>
          <x:t xml:space="preserve">Gabriel Samra Doral</x:t>
        </x:is>
      </x:c>
      <x:c r="C3" t="inlineStr">
        <x:is>
          <x:t xml:space="preserve">Doral</x:t>
        </x:is>
      </x:c>
      <x:c r="D3" t="inlineStr">
        <x:is>
          <x:t xml:space="preserve">In-Salon Retail</x:t>
        </x:is>
      </x:c>
      <x:c r="E3" t="inlineStr">
        <x:is>
          <x:t xml:space="preserve">Salon Manager</x:t>
        </x:is>
      </x:c>
      <x:c r="F3" t="inlineStr">
        <x:is>
          <x:t xml:space="preserve">Retail sales at front desk and stylist recommendation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51138471dd48493f"/>
  </x:tableParts>
</x:worksheet>
</file>

<file path=xl/worksheets/sheet5.xml><?xml version="1.0" encoding="utf-8"?>
<x:worksheet xmlns:x="http://schemas.openxmlformats.org/spreadsheetml/2006/main">
  <x:sheetFormatPr baseColWidth="10" defaultColWidth="8.83203125" defaultRowHeight="15"/>
  <x:cols>
    <x:col min="1" max="1" width="14.83203125" customWidth="1"/>
    <x:col min="2" max="2" width="80" customWidth="1"/>
  </x:cols>
  <x:sheetData>
    <x:row r="1" ht="37.25" customHeight="1">
      <x:c r="A1" s="9" t="inlineStr">
        <x:is>
          <x:t xml:space="preserve">Field</x:t>
        </x:is>
      </x:c>
      <x:c r="B1" s="9" t="inlineStr">
        <x:is>
          <x:t xml:space="preserve">Description</x:t>
        </x:is>
      </x:c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  <x:c r="S1" s="1" t="n"/>
      <x:c r="T1" s="1" t="n"/>
      <x:c r="U1" s="1" t="n"/>
      <x:c r="V1" s="1" t="n"/>
      <x:c r="W1" s="1" t="n"/>
      <x:c r="X1" s="1" t="n"/>
      <x:c r="Y1" s="1" t="n"/>
      <x:c r="Z1" s="1" t="n"/>
    </x:row>
    <x:row r="2">
      <x:c r="A2" t="inlineStr">
        <x:is>
          <x:t xml:space="preserve">Purpose</x:t>
        </x:is>
      </x:c>
      <x:c r="B2" t="inlineStr">
        <x:is>
          <x:t xml:space="preserve">Mock raw data to simulate Gabriel Samra in-salon retail sales for Sutra and Truss products.</x:t>
        </x:is>
      </x:c>
    </x:row>
    <x:row r="3">
      <x:c r="A3" t="inlineStr">
        <x:is>
          <x:t xml:space="preserve">Locations Included</x:t>
        </x:is>
      </x:c>
      <x:c r="B3" t="inlineStr">
        <x:is>
          <x:t xml:space="preserve">Coral Gables and Doral only. No online sales included.</x:t>
        </x:is>
      </x:c>
    </x:row>
    <x:row r="4">
      <x:c r="A4" t="inlineStr">
        <x:is>
          <x:t xml:space="preserve">Use Case</x:t>
        </x:is>
      </x:c>
      <x:c r="B4" t="inlineStr">
        <x:is>
          <x:t xml:space="preserve">Streamlit can read these tabs to calculate sales, margin, inventory risk, product performance, and reorder alerts.</x:t>
        </x:is>
      </x:c>
    </x:row>
    <x:row r="5">
      <x:c r="A5" t="inlineStr">
        <x:is>
          <x:t xml:space="preserve">Data Status</x:t>
        </x:is>
      </x:c>
      <x:c r="B5" t="inlineStr">
        <x:is>
          <x:t xml:space="preserve">Fictitious sample data until real POS / inventory exports are provided.</x:t>
        </x:is>
      </x:c>
    </x:row>
    <x:row r="6">
      <x:c r="A6" t="inlineStr">
        <x:is>
          <x:t xml:space="preserve">Manual Inputs</x:t>
        </x:is>
      </x:c>
      <x:c r="B6" t="inlineStr">
        <x:is>
          <x:t xml:space="preserve">Unit cost, retail price, opening stock, received units, reorder point, and recommended reorder quantity are assumed.</x:t>
        </x:is>
      </x:c>
    </x:row>
    <x:row r="7">
      <x:c r="A7" t="inlineStr">
        <x:is>
          <x:t xml:space="preserve">API/External Data</x:t>
        </x:is>
      </x:c>
      <x:c r="B7" t="inlineStr">
        <x:is>
          <x:t xml:space="preserve">No live API data is included in this file. It is structured to be replaced later by real exports.</x:t>
        </x:is>
      </x:c>
    </x:row>
  </x:sheetData>
  <x:pageMargins left="0.7" right="0.7" top="0.75" bottom="0.75" header="0.3" footer="0.3"/>
</x:worksheet>
</file>