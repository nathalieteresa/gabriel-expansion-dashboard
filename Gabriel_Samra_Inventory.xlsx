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athalieelbarche/Desktop/"/>
    </mc:Choice>
  </mc:AlternateContent>
  <xr:revisionPtr revIDLastSave="0" documentId="13_ncr:1_{BA666D8C-3574-2F49-AAE9-4EF9DCA1F170}" xr6:coauthVersionLast="47" xr6:coauthVersionMax="47" xr10:uidLastSave="{00000000-0000-0000-0000-000000000000}"/>
  <bookViews>
    <workbookView xWindow="0" yWindow="660" windowWidth="30240" windowHeight="17000" xr2:uid="{00000000-000D-0000-FFFF-FFFF00000000}"/>
  </bookViews>
  <sheets>
    <sheet name="Sales_Transactions" sheetId="1" r:id="rId1"/>
    <sheet name="Products" sheetId="2" r:id="rId2"/>
    <sheet name="Inventory" sheetId="3" r:id="rId3"/>
    <sheet name="Stores" sheetId="4" r:id="rId4"/>
    <sheet name="Assump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3" l="1"/>
  <c r="K21" i="3" s="1"/>
  <c r="N21" i="3" s="1"/>
  <c r="J20" i="3"/>
  <c r="K20" i="3" s="1"/>
  <c r="N20" i="3" s="1"/>
  <c r="J19" i="3"/>
  <c r="K19" i="3" s="1"/>
  <c r="N19" i="3" s="1"/>
  <c r="J18" i="3"/>
  <c r="K18" i="3" s="1"/>
  <c r="N18" i="3" s="1"/>
  <c r="J17" i="3"/>
  <c r="K17" i="3" s="1"/>
  <c r="N17" i="3" s="1"/>
  <c r="J16" i="3"/>
  <c r="K16" i="3" s="1"/>
  <c r="N16" i="3" s="1"/>
  <c r="J15" i="3"/>
  <c r="K15" i="3" s="1"/>
  <c r="N15" i="3" s="1"/>
  <c r="J14" i="3"/>
  <c r="K14" i="3" s="1"/>
  <c r="N14" i="3" s="1"/>
  <c r="J13" i="3"/>
  <c r="K13" i="3" s="1"/>
  <c r="N13" i="3" s="1"/>
  <c r="J12" i="3"/>
  <c r="K12" i="3" s="1"/>
  <c r="N12" i="3" s="1"/>
  <c r="J11" i="3"/>
  <c r="K11" i="3" s="1"/>
  <c r="N11" i="3" s="1"/>
  <c r="J10" i="3"/>
  <c r="K10" i="3" s="1"/>
  <c r="N10" i="3" s="1"/>
  <c r="J9" i="3"/>
  <c r="K9" i="3" s="1"/>
  <c r="N9" i="3" s="1"/>
  <c r="J8" i="3"/>
  <c r="K8" i="3" s="1"/>
  <c r="N8" i="3" s="1"/>
  <c r="J7" i="3"/>
  <c r="K7" i="3" s="1"/>
  <c r="N7" i="3" s="1"/>
  <c r="J6" i="3"/>
  <c r="K6" i="3" s="1"/>
  <c r="N6" i="3" s="1"/>
  <c r="J5" i="3"/>
  <c r="K5" i="3" s="1"/>
  <c r="N5" i="3" s="1"/>
  <c r="J4" i="3"/>
  <c r="K4" i="3" s="1"/>
  <c r="N4" i="3" s="1"/>
  <c r="J3" i="3"/>
  <c r="K3" i="3" s="1"/>
  <c r="N3" i="3" s="1"/>
  <c r="J2" i="3"/>
  <c r="K2" i="3" s="1"/>
  <c r="N2" i="3" s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P113" i="1" s="1"/>
  <c r="Q113" i="1" s="1"/>
  <c r="O112" i="1"/>
  <c r="N112" i="1"/>
  <c r="O111" i="1"/>
  <c r="N111" i="1"/>
  <c r="O110" i="1"/>
  <c r="N110" i="1"/>
  <c r="O109" i="1"/>
  <c r="N109" i="1"/>
  <c r="P109" i="1" s="1"/>
  <c r="Q109" i="1" s="1"/>
  <c r="O108" i="1"/>
  <c r="N108" i="1"/>
  <c r="O107" i="1"/>
  <c r="N107" i="1"/>
  <c r="O106" i="1"/>
  <c r="N106" i="1"/>
  <c r="O105" i="1"/>
  <c r="N105" i="1"/>
  <c r="P105" i="1" s="1"/>
  <c r="Q105" i="1" s="1"/>
  <c r="O104" i="1"/>
  <c r="N104" i="1"/>
  <c r="O103" i="1"/>
  <c r="N103" i="1"/>
  <c r="O102" i="1"/>
  <c r="N102" i="1"/>
  <c r="O101" i="1"/>
  <c r="N101" i="1"/>
  <c r="P101" i="1" s="1"/>
  <c r="Q101" i="1" s="1"/>
  <c r="O100" i="1"/>
  <c r="N100" i="1"/>
  <c r="O99" i="1"/>
  <c r="N99" i="1"/>
  <c r="O98" i="1"/>
  <c r="N98" i="1"/>
  <c r="O97" i="1"/>
  <c r="N97" i="1"/>
  <c r="P97" i="1" s="1"/>
  <c r="Q97" i="1" s="1"/>
  <c r="O96" i="1"/>
  <c r="N96" i="1"/>
  <c r="O95" i="1"/>
  <c r="N95" i="1"/>
  <c r="O94" i="1"/>
  <c r="N94" i="1"/>
  <c r="O93" i="1"/>
  <c r="N93" i="1"/>
  <c r="P93" i="1" s="1"/>
  <c r="Q93" i="1" s="1"/>
  <c r="O92" i="1"/>
  <c r="N92" i="1"/>
  <c r="O91" i="1"/>
  <c r="N91" i="1"/>
  <c r="O90" i="1"/>
  <c r="N90" i="1"/>
  <c r="O89" i="1"/>
  <c r="N89" i="1"/>
  <c r="P89" i="1" s="1"/>
  <c r="Q89" i="1" s="1"/>
  <c r="O88" i="1"/>
  <c r="N88" i="1"/>
  <c r="O87" i="1"/>
  <c r="N87" i="1"/>
  <c r="O86" i="1"/>
  <c r="N86" i="1"/>
  <c r="O85" i="1"/>
  <c r="N85" i="1"/>
  <c r="P85" i="1" s="1"/>
  <c r="Q85" i="1" s="1"/>
  <c r="O84" i="1"/>
  <c r="N84" i="1"/>
  <c r="O83" i="1"/>
  <c r="N83" i="1"/>
  <c r="O82" i="1"/>
  <c r="N82" i="1"/>
  <c r="O81" i="1"/>
  <c r="N81" i="1"/>
  <c r="P81" i="1" s="1"/>
  <c r="Q81" i="1" s="1"/>
  <c r="O80" i="1"/>
  <c r="N80" i="1"/>
  <c r="O79" i="1"/>
  <c r="N79" i="1"/>
  <c r="O78" i="1"/>
  <c r="N78" i="1"/>
  <c r="O77" i="1"/>
  <c r="N77" i="1"/>
  <c r="P77" i="1" s="1"/>
  <c r="Q77" i="1" s="1"/>
  <c r="O76" i="1"/>
  <c r="N76" i="1"/>
  <c r="O75" i="1"/>
  <c r="N75" i="1"/>
  <c r="O74" i="1"/>
  <c r="N74" i="1"/>
  <c r="O73" i="1"/>
  <c r="N73" i="1"/>
  <c r="P73" i="1" s="1"/>
  <c r="Q73" i="1" s="1"/>
  <c r="O72" i="1"/>
  <c r="N72" i="1"/>
  <c r="O71" i="1"/>
  <c r="N71" i="1"/>
  <c r="O70" i="1"/>
  <c r="N70" i="1"/>
  <c r="O69" i="1"/>
  <c r="N69" i="1"/>
  <c r="P69" i="1" s="1"/>
  <c r="Q69" i="1" s="1"/>
  <c r="O68" i="1"/>
  <c r="N68" i="1"/>
  <c r="O67" i="1"/>
  <c r="N67" i="1"/>
  <c r="O66" i="1"/>
  <c r="N66" i="1"/>
  <c r="O65" i="1"/>
  <c r="N65" i="1"/>
  <c r="P65" i="1" s="1"/>
  <c r="Q65" i="1" s="1"/>
  <c r="O64" i="1"/>
  <c r="N64" i="1"/>
  <c r="O63" i="1"/>
  <c r="N63" i="1"/>
  <c r="O62" i="1"/>
  <c r="N62" i="1"/>
  <c r="O61" i="1"/>
  <c r="N61" i="1"/>
  <c r="P61" i="1" s="1"/>
  <c r="Q61" i="1" s="1"/>
  <c r="O60" i="1"/>
  <c r="N60" i="1"/>
  <c r="O59" i="1"/>
  <c r="N59" i="1"/>
  <c r="O58" i="1"/>
  <c r="N58" i="1"/>
  <c r="O57" i="1"/>
  <c r="N57" i="1"/>
  <c r="P57" i="1" s="1"/>
  <c r="Q57" i="1" s="1"/>
  <c r="O56" i="1"/>
  <c r="N56" i="1"/>
  <c r="O55" i="1"/>
  <c r="N55" i="1"/>
  <c r="O54" i="1"/>
  <c r="N54" i="1"/>
  <c r="O53" i="1"/>
  <c r="N53" i="1"/>
  <c r="P53" i="1" s="1"/>
  <c r="Q53" i="1" s="1"/>
  <c r="O52" i="1"/>
  <c r="N52" i="1"/>
  <c r="O51" i="1"/>
  <c r="N51" i="1"/>
  <c r="O50" i="1"/>
  <c r="N50" i="1"/>
  <c r="O49" i="1"/>
  <c r="N49" i="1"/>
  <c r="P49" i="1" s="1"/>
  <c r="Q49" i="1" s="1"/>
  <c r="O48" i="1"/>
  <c r="N48" i="1"/>
  <c r="O47" i="1"/>
  <c r="N47" i="1"/>
  <c r="O46" i="1"/>
  <c r="N46" i="1"/>
  <c r="O45" i="1"/>
  <c r="N45" i="1"/>
  <c r="P45" i="1" s="1"/>
  <c r="Q45" i="1" s="1"/>
  <c r="O44" i="1"/>
  <c r="N44" i="1"/>
  <c r="O43" i="1"/>
  <c r="N43" i="1"/>
  <c r="O42" i="1"/>
  <c r="N42" i="1"/>
  <c r="O41" i="1"/>
  <c r="N41" i="1"/>
  <c r="P41" i="1" s="1"/>
  <c r="Q41" i="1" s="1"/>
  <c r="O40" i="1"/>
  <c r="N40" i="1"/>
  <c r="O39" i="1"/>
  <c r="N39" i="1"/>
  <c r="O38" i="1"/>
  <c r="N38" i="1"/>
  <c r="O37" i="1"/>
  <c r="N37" i="1"/>
  <c r="P37" i="1" s="1"/>
  <c r="Q37" i="1" s="1"/>
  <c r="O36" i="1"/>
  <c r="N36" i="1"/>
  <c r="O35" i="1"/>
  <c r="N35" i="1"/>
  <c r="O34" i="1"/>
  <c r="N34" i="1"/>
  <c r="O33" i="1"/>
  <c r="N33" i="1"/>
  <c r="P33" i="1" s="1"/>
  <c r="Q33" i="1" s="1"/>
  <c r="O32" i="1"/>
  <c r="N32" i="1"/>
  <c r="O31" i="1"/>
  <c r="N31" i="1"/>
  <c r="O30" i="1"/>
  <c r="N30" i="1"/>
  <c r="O29" i="1"/>
  <c r="N29" i="1"/>
  <c r="P29" i="1" s="1"/>
  <c r="Q29" i="1" s="1"/>
  <c r="O28" i="1"/>
  <c r="N28" i="1"/>
  <c r="O27" i="1"/>
  <c r="N27" i="1"/>
  <c r="O26" i="1"/>
  <c r="N26" i="1"/>
  <c r="O25" i="1"/>
  <c r="N25" i="1"/>
  <c r="P25" i="1" s="1"/>
  <c r="Q25" i="1" s="1"/>
  <c r="O24" i="1"/>
  <c r="N24" i="1"/>
  <c r="O23" i="1"/>
  <c r="N23" i="1"/>
  <c r="O22" i="1"/>
  <c r="N22" i="1"/>
  <c r="O21" i="1"/>
  <c r="N21" i="1"/>
  <c r="P21" i="1" s="1"/>
  <c r="Q21" i="1" s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P129" i="1" l="1"/>
  <c r="Q129" i="1" s="1"/>
  <c r="P7" i="1"/>
  <c r="Q7" i="1" s="1"/>
  <c r="P15" i="1"/>
  <c r="Q15" i="1" s="1"/>
  <c r="P23" i="1"/>
  <c r="Q23" i="1" s="1"/>
  <c r="P31" i="1"/>
  <c r="Q31" i="1" s="1"/>
  <c r="P39" i="1"/>
  <c r="Q39" i="1" s="1"/>
  <c r="P47" i="1"/>
  <c r="Q47" i="1" s="1"/>
  <c r="P87" i="1"/>
  <c r="Q87" i="1" s="1"/>
  <c r="P95" i="1"/>
  <c r="Q95" i="1" s="1"/>
  <c r="P103" i="1"/>
  <c r="Q103" i="1" s="1"/>
  <c r="P111" i="1"/>
  <c r="Q111" i="1" s="1"/>
  <c r="P135" i="1"/>
  <c r="Q135" i="1" s="1"/>
  <c r="P143" i="1"/>
  <c r="Q143" i="1" s="1"/>
  <c r="P151" i="1"/>
  <c r="Q151" i="1" s="1"/>
  <c r="P145" i="1"/>
  <c r="Q145" i="1" s="1"/>
  <c r="P149" i="1"/>
  <c r="Q149" i="1" s="1"/>
  <c r="P17" i="1"/>
  <c r="Q17" i="1" s="1"/>
  <c r="P51" i="1"/>
  <c r="Q51" i="1" s="1"/>
  <c r="P59" i="1"/>
  <c r="Q59" i="1" s="1"/>
  <c r="P67" i="1"/>
  <c r="Q67" i="1" s="1"/>
  <c r="P75" i="1"/>
  <c r="Q75" i="1" s="1"/>
  <c r="P119" i="1"/>
  <c r="Q119" i="1" s="1"/>
  <c r="P127" i="1"/>
  <c r="Q127" i="1" s="1"/>
  <c r="P3" i="1"/>
  <c r="Q3" i="1" s="1"/>
  <c r="P19" i="1"/>
  <c r="Q19" i="1" s="1"/>
  <c r="P27" i="1"/>
  <c r="Q27" i="1" s="1"/>
  <c r="P147" i="1"/>
  <c r="Q147" i="1" s="1"/>
  <c r="P35" i="1"/>
  <c r="Q35" i="1" s="1"/>
  <c r="P43" i="1"/>
  <c r="Q43" i="1" s="1"/>
  <c r="P55" i="1"/>
  <c r="Q55" i="1" s="1"/>
  <c r="P63" i="1"/>
  <c r="Q63" i="1" s="1"/>
  <c r="P117" i="1"/>
  <c r="Q117" i="1" s="1"/>
  <c r="P121" i="1"/>
  <c r="Q121" i="1" s="1"/>
  <c r="P125" i="1"/>
  <c r="Q125" i="1" s="1"/>
  <c r="P5" i="1"/>
  <c r="Q5" i="1" s="1"/>
  <c r="P9" i="1"/>
  <c r="Q9" i="1" s="1"/>
  <c r="P13" i="1"/>
  <c r="Q13" i="1" s="1"/>
  <c r="P71" i="1"/>
  <c r="Q71" i="1" s="1"/>
  <c r="P79" i="1"/>
  <c r="Q79" i="1" s="1"/>
  <c r="P133" i="1"/>
  <c r="Q133" i="1" s="1"/>
  <c r="P137" i="1"/>
  <c r="Q137" i="1" s="1"/>
  <c r="P141" i="1"/>
  <c r="Q141" i="1" s="1"/>
  <c r="P99" i="1"/>
  <c r="Q99" i="1" s="1"/>
  <c r="P83" i="1"/>
  <c r="Q83" i="1" s="1"/>
  <c r="P107" i="1"/>
  <c r="Q107" i="1" s="1"/>
  <c r="P131" i="1"/>
  <c r="Q131" i="1" s="1"/>
  <c r="P139" i="1"/>
  <c r="Q139" i="1" s="1"/>
  <c r="P91" i="1"/>
  <c r="Q91" i="1" s="1"/>
  <c r="P115" i="1"/>
  <c r="Q115" i="1" s="1"/>
  <c r="P123" i="1"/>
  <c r="Q123" i="1" s="1"/>
  <c r="P11" i="1"/>
  <c r="Q11" i="1" s="1"/>
  <c r="P4" i="1"/>
  <c r="Q4" i="1" s="1"/>
  <c r="P6" i="1"/>
  <c r="Q6" i="1" s="1"/>
  <c r="P8" i="1"/>
  <c r="Q8" i="1" s="1"/>
  <c r="P10" i="1"/>
  <c r="Q10" i="1" s="1"/>
  <c r="P12" i="1"/>
  <c r="Q12" i="1" s="1"/>
  <c r="P14" i="1"/>
  <c r="Q14" i="1" s="1"/>
  <c r="P16" i="1"/>
  <c r="Q16" i="1" s="1"/>
  <c r="P18" i="1"/>
  <c r="Q18" i="1" s="1"/>
  <c r="P20" i="1"/>
  <c r="Q20" i="1" s="1"/>
  <c r="P22" i="1"/>
  <c r="Q22" i="1" s="1"/>
  <c r="P24" i="1"/>
  <c r="Q24" i="1" s="1"/>
  <c r="P26" i="1"/>
  <c r="Q26" i="1" s="1"/>
  <c r="P28" i="1"/>
  <c r="Q28" i="1" s="1"/>
  <c r="P30" i="1"/>
  <c r="Q30" i="1" s="1"/>
  <c r="P32" i="1"/>
  <c r="Q32" i="1" s="1"/>
  <c r="P34" i="1"/>
  <c r="Q34" i="1" s="1"/>
  <c r="P36" i="1"/>
  <c r="Q36" i="1" s="1"/>
  <c r="P38" i="1"/>
  <c r="Q38" i="1" s="1"/>
  <c r="P40" i="1"/>
  <c r="Q40" i="1" s="1"/>
  <c r="P42" i="1"/>
  <c r="Q42" i="1" s="1"/>
  <c r="P44" i="1"/>
  <c r="Q44" i="1" s="1"/>
  <c r="P46" i="1"/>
  <c r="Q46" i="1" s="1"/>
  <c r="P48" i="1"/>
  <c r="Q48" i="1" s="1"/>
  <c r="P50" i="1"/>
  <c r="Q50" i="1" s="1"/>
  <c r="P52" i="1"/>
  <c r="Q52" i="1" s="1"/>
  <c r="P54" i="1"/>
  <c r="Q54" i="1" s="1"/>
  <c r="P56" i="1"/>
  <c r="Q56" i="1" s="1"/>
  <c r="P58" i="1"/>
  <c r="Q58" i="1" s="1"/>
  <c r="P60" i="1"/>
  <c r="Q60" i="1" s="1"/>
  <c r="P62" i="1"/>
  <c r="Q62" i="1" s="1"/>
  <c r="P64" i="1"/>
  <c r="Q64" i="1" s="1"/>
  <c r="P66" i="1"/>
  <c r="Q66" i="1" s="1"/>
  <c r="P68" i="1"/>
  <c r="Q68" i="1" s="1"/>
  <c r="P70" i="1"/>
  <c r="Q70" i="1" s="1"/>
  <c r="P72" i="1"/>
  <c r="Q72" i="1" s="1"/>
  <c r="P74" i="1"/>
  <c r="Q74" i="1" s="1"/>
  <c r="P76" i="1"/>
  <c r="Q76" i="1" s="1"/>
  <c r="P78" i="1"/>
  <c r="Q78" i="1" s="1"/>
  <c r="P80" i="1"/>
  <c r="Q80" i="1" s="1"/>
  <c r="P82" i="1"/>
  <c r="Q82" i="1" s="1"/>
  <c r="P84" i="1"/>
  <c r="Q84" i="1" s="1"/>
  <c r="P86" i="1"/>
  <c r="Q86" i="1" s="1"/>
  <c r="P88" i="1"/>
  <c r="Q88" i="1" s="1"/>
  <c r="P90" i="1"/>
  <c r="Q90" i="1" s="1"/>
  <c r="P92" i="1"/>
  <c r="Q92" i="1" s="1"/>
  <c r="P94" i="1"/>
  <c r="Q94" i="1" s="1"/>
  <c r="P96" i="1"/>
  <c r="Q96" i="1" s="1"/>
  <c r="P98" i="1"/>
  <c r="Q98" i="1" s="1"/>
  <c r="P100" i="1"/>
  <c r="Q100" i="1" s="1"/>
  <c r="P102" i="1"/>
  <c r="Q102" i="1" s="1"/>
  <c r="P104" i="1"/>
  <c r="Q104" i="1" s="1"/>
  <c r="P106" i="1"/>
  <c r="Q106" i="1" s="1"/>
  <c r="P108" i="1"/>
  <c r="Q108" i="1" s="1"/>
  <c r="P110" i="1"/>
  <c r="Q110" i="1" s="1"/>
  <c r="P112" i="1"/>
  <c r="Q112" i="1" s="1"/>
  <c r="P114" i="1"/>
  <c r="Q114" i="1" s="1"/>
  <c r="P116" i="1"/>
  <c r="Q116" i="1" s="1"/>
  <c r="P118" i="1"/>
  <c r="Q118" i="1" s="1"/>
  <c r="P120" i="1"/>
  <c r="Q120" i="1" s="1"/>
  <c r="P122" i="1"/>
  <c r="Q122" i="1" s="1"/>
  <c r="P124" i="1"/>
  <c r="Q124" i="1" s="1"/>
  <c r="P126" i="1"/>
  <c r="Q126" i="1" s="1"/>
  <c r="P128" i="1"/>
  <c r="Q128" i="1" s="1"/>
  <c r="P130" i="1"/>
  <c r="Q130" i="1" s="1"/>
  <c r="P132" i="1"/>
  <c r="Q132" i="1" s="1"/>
  <c r="P134" i="1"/>
  <c r="Q134" i="1" s="1"/>
  <c r="P136" i="1"/>
  <c r="Q136" i="1" s="1"/>
  <c r="P138" i="1"/>
  <c r="Q138" i="1" s="1"/>
  <c r="P140" i="1"/>
  <c r="Q140" i="1" s="1"/>
  <c r="P142" i="1"/>
  <c r="Q142" i="1" s="1"/>
  <c r="P144" i="1"/>
  <c r="Q144" i="1" s="1"/>
  <c r="P146" i="1"/>
  <c r="Q146" i="1" s="1"/>
  <c r="P148" i="1"/>
  <c r="Q148" i="1" s="1"/>
  <c r="P150" i="1"/>
  <c r="Q150" i="1" s="1"/>
  <c r="P2" i="1"/>
  <c r="Q2" i="1" s="1"/>
</calcChain>
</file>

<file path=xl/sharedStrings.xml><?xml version="1.0" encoding="utf-8"?>
<sst xmlns="http://schemas.openxmlformats.org/spreadsheetml/2006/main" count="1785" uniqueCount="277">
  <si>
    <t>Transaction_ID</t>
  </si>
  <si>
    <t>Date</t>
  </si>
  <si>
    <t>Store_ID</t>
  </si>
  <si>
    <t>Salon_Location</t>
  </si>
  <si>
    <t>Brand</t>
  </si>
  <si>
    <t>Product_ID</t>
  </si>
  <si>
    <t>Product_Name</t>
  </si>
  <si>
    <t>Category</t>
  </si>
  <si>
    <t>Stylist</t>
  </si>
  <si>
    <t>Units_Sold</t>
  </si>
  <si>
    <t>Unit_Cost</t>
  </si>
  <si>
    <t>Retail_Price</t>
  </si>
  <si>
    <t>Discount_%</t>
  </si>
  <si>
    <t>Net_Sales</t>
  </si>
  <si>
    <t>COGS</t>
  </si>
  <si>
    <t>Gross_Profit</t>
  </si>
  <si>
    <t>Gross_Margin_%</t>
  </si>
  <si>
    <t>Payment_Method</t>
  </si>
  <si>
    <t>Customer_Type</t>
  </si>
  <si>
    <t>TRX-0001</t>
  </si>
  <si>
    <t>CG-001</t>
  </si>
  <si>
    <t>Gabriel Samra Coral Gables</t>
  </si>
  <si>
    <t>Truss</t>
  </si>
  <si>
    <t>TRU-CND-002</t>
  </si>
  <si>
    <t>Infusion Conditioner</t>
  </si>
  <si>
    <t>Hair Care</t>
  </si>
  <si>
    <t>Card</t>
  </si>
  <si>
    <t>Stylist Recommendation</t>
  </si>
  <si>
    <t>TRX-0002</t>
  </si>
  <si>
    <t>TRU-SHP-001</t>
  </si>
  <si>
    <t>Infusion Shampoo</t>
  </si>
  <si>
    <t>Cash</t>
  </si>
  <si>
    <t>TRX-0003</t>
  </si>
  <si>
    <t>DR-001</t>
  </si>
  <si>
    <t>Gabriel Samra Doral</t>
  </si>
  <si>
    <t>TRU-OIL-004</t>
  </si>
  <si>
    <t>Deluxe Prime Oil</t>
  </si>
  <si>
    <t>Finishing</t>
  </si>
  <si>
    <t>Gift Card</t>
  </si>
  <si>
    <t>Post-Service Retail</t>
  </si>
  <si>
    <t>TRX-0004</t>
  </si>
  <si>
    <t>TRU-SER-005</t>
  </si>
  <si>
    <t>Night Spa Serum</t>
  </si>
  <si>
    <t>Treatment</t>
  </si>
  <si>
    <t>Existing Client</t>
  </si>
  <si>
    <t>TRX-0005</t>
  </si>
  <si>
    <t>Sutra</t>
  </si>
  <si>
    <t>SUT-FIR-001</t>
  </si>
  <si>
    <t>Mini Flat Iron</t>
  </si>
  <si>
    <t>Hot Tools</t>
  </si>
  <si>
    <t>TRX-0006</t>
  </si>
  <si>
    <t>SUT-DRY-004</t>
  </si>
  <si>
    <t>Professional Hair Dryer</t>
  </si>
  <si>
    <t>TRX-0007</t>
  </si>
  <si>
    <t>TRX-0008</t>
  </si>
  <si>
    <t>Walk-in Client</t>
  </si>
  <si>
    <t>TRX-0009</t>
  </si>
  <si>
    <t>TRU-MSK-003</t>
  </si>
  <si>
    <t>Net Mask</t>
  </si>
  <si>
    <t>Apple Pay</t>
  </si>
  <si>
    <t>TRX-0010</t>
  </si>
  <si>
    <t>TRX-0011</t>
  </si>
  <si>
    <t>SUT-CUR-002</t>
  </si>
  <si>
    <t>Clipless Curling Iron</t>
  </si>
  <si>
    <t>TRX-0012</t>
  </si>
  <si>
    <t>TRX-0013</t>
  </si>
  <si>
    <t>TRX-0014</t>
  </si>
  <si>
    <t>TRX-0015</t>
  </si>
  <si>
    <t>TRX-0016</t>
  </si>
  <si>
    <t>TRX-0017</t>
  </si>
  <si>
    <t>TRX-0018</t>
  </si>
  <si>
    <t>TRX-0019</t>
  </si>
  <si>
    <t>TRX-0020</t>
  </si>
  <si>
    <t>TRX-0021</t>
  </si>
  <si>
    <t>TRX-0022</t>
  </si>
  <si>
    <t>TRX-0023</t>
  </si>
  <si>
    <t>SUT-HSP-005</t>
  </si>
  <si>
    <t>Heat Spray</t>
  </si>
  <si>
    <t>Styling</t>
  </si>
  <si>
    <t>TRX-0024</t>
  </si>
  <si>
    <t>TRX-0025</t>
  </si>
  <si>
    <t>TRX-0026</t>
  </si>
  <si>
    <t>TRX-0027</t>
  </si>
  <si>
    <t>TRX-0028</t>
  </si>
  <si>
    <t>SUT-BLO-003</t>
  </si>
  <si>
    <t>Blowout Brush</t>
  </si>
  <si>
    <t>TRX-0029</t>
  </si>
  <si>
    <t>TRX-0030</t>
  </si>
  <si>
    <t>TRX-0031</t>
  </si>
  <si>
    <t>TRX-0032</t>
  </si>
  <si>
    <t>TRX-0033</t>
  </si>
  <si>
    <t>TRX-0034</t>
  </si>
  <si>
    <t>TRX-0035</t>
  </si>
  <si>
    <t>TRX-0036</t>
  </si>
  <si>
    <t>TRX-0037</t>
  </si>
  <si>
    <t>TRX-0038</t>
  </si>
  <si>
    <t>TRX-0039</t>
  </si>
  <si>
    <t>TRX-0040</t>
  </si>
  <si>
    <t>TRX-0041</t>
  </si>
  <si>
    <t>TRX-0042</t>
  </si>
  <si>
    <t>TRX-0043</t>
  </si>
  <si>
    <t>TRX-0044</t>
  </si>
  <si>
    <t>TRX-0045</t>
  </si>
  <si>
    <t>TRX-0046</t>
  </si>
  <si>
    <t>TRX-0047</t>
  </si>
  <si>
    <t>TRX-0048</t>
  </si>
  <si>
    <t>TRX-0049</t>
  </si>
  <si>
    <t>TRX-0050</t>
  </si>
  <si>
    <t>TRX-0051</t>
  </si>
  <si>
    <t>TRX-0052</t>
  </si>
  <si>
    <t>TRX-0053</t>
  </si>
  <si>
    <t>TRX-0054</t>
  </si>
  <si>
    <t>TRX-0055</t>
  </si>
  <si>
    <t>TRX-0056</t>
  </si>
  <si>
    <t>TRX-0057</t>
  </si>
  <si>
    <t>TRX-0058</t>
  </si>
  <si>
    <t>TRX-0059</t>
  </si>
  <si>
    <t>TRX-0060</t>
  </si>
  <si>
    <t>TRX-0061</t>
  </si>
  <si>
    <t>TRX-0062</t>
  </si>
  <si>
    <t>TRX-0063</t>
  </si>
  <si>
    <t>TRX-0064</t>
  </si>
  <si>
    <t>TRX-0065</t>
  </si>
  <si>
    <t>TRX-0066</t>
  </si>
  <si>
    <t>TRX-0067</t>
  </si>
  <si>
    <t>TRX-0068</t>
  </si>
  <si>
    <t>TRX-0069</t>
  </si>
  <si>
    <t>TRX-0070</t>
  </si>
  <si>
    <t>TRX-0071</t>
  </si>
  <si>
    <t>TRX-0072</t>
  </si>
  <si>
    <t>TRX-0073</t>
  </si>
  <si>
    <t>TRX-0074</t>
  </si>
  <si>
    <t>TRX-0075</t>
  </si>
  <si>
    <t>TRX-0076</t>
  </si>
  <si>
    <t>TRX-0077</t>
  </si>
  <si>
    <t>TRX-0078</t>
  </si>
  <si>
    <t>TRX-0079</t>
  </si>
  <si>
    <t>TRX-0080</t>
  </si>
  <si>
    <t>TRX-0081</t>
  </si>
  <si>
    <t>TRX-0082</t>
  </si>
  <si>
    <t>TRX-0083</t>
  </si>
  <si>
    <t>TRX-0084</t>
  </si>
  <si>
    <t>TRX-0085</t>
  </si>
  <si>
    <t>TRX-0086</t>
  </si>
  <si>
    <t>TRX-0087</t>
  </si>
  <si>
    <t>TRX-0088</t>
  </si>
  <si>
    <t>TRX-0089</t>
  </si>
  <si>
    <t>TRX-0090</t>
  </si>
  <si>
    <t>TRX-0091</t>
  </si>
  <si>
    <t>TRX-0092</t>
  </si>
  <si>
    <t>TRX-0093</t>
  </si>
  <si>
    <t>TRX-0094</t>
  </si>
  <si>
    <t>TRX-0095</t>
  </si>
  <si>
    <t>TRX-0096</t>
  </si>
  <si>
    <t>TRX-0097</t>
  </si>
  <si>
    <t>TRX-0098</t>
  </si>
  <si>
    <t>TRX-0099</t>
  </si>
  <si>
    <t>TRX-0100</t>
  </si>
  <si>
    <t>TRX-0101</t>
  </si>
  <si>
    <t>TRX-0102</t>
  </si>
  <si>
    <t>TRX-0103</t>
  </si>
  <si>
    <t>TRX-0104</t>
  </si>
  <si>
    <t>TRX-0105</t>
  </si>
  <si>
    <t>TRX-0106</t>
  </si>
  <si>
    <t>TRX-0107</t>
  </si>
  <si>
    <t>TRX-0108</t>
  </si>
  <si>
    <t>TRX-0109</t>
  </si>
  <si>
    <t>TRX-0110</t>
  </si>
  <si>
    <t>TRX-0111</t>
  </si>
  <si>
    <t>TRX-0112</t>
  </si>
  <si>
    <t>TRX-0113</t>
  </si>
  <si>
    <t>TRX-0114</t>
  </si>
  <si>
    <t>TRX-0115</t>
  </si>
  <si>
    <t>TRX-0116</t>
  </si>
  <si>
    <t>TRX-0117</t>
  </si>
  <si>
    <t>TRX-0118</t>
  </si>
  <si>
    <t>TRX-0119</t>
  </si>
  <si>
    <t>TRX-0120</t>
  </si>
  <si>
    <t>TRX-0121</t>
  </si>
  <si>
    <t>TRX-0122</t>
  </si>
  <si>
    <t>TRX-0123</t>
  </si>
  <si>
    <t>TRX-0124</t>
  </si>
  <si>
    <t>TRX-0125</t>
  </si>
  <si>
    <t>TRX-0126</t>
  </si>
  <si>
    <t>TRX-0127</t>
  </si>
  <si>
    <t>TRX-0128</t>
  </si>
  <si>
    <t>TRX-0129</t>
  </si>
  <si>
    <t>TRX-0130</t>
  </si>
  <si>
    <t>TRX-0131</t>
  </si>
  <si>
    <t>TRX-0132</t>
  </si>
  <si>
    <t>TRX-0133</t>
  </si>
  <si>
    <t>TRX-0134</t>
  </si>
  <si>
    <t>TRX-0135</t>
  </si>
  <si>
    <t>TRX-0136</t>
  </si>
  <si>
    <t>TRX-0137</t>
  </si>
  <si>
    <t>TRX-0138</t>
  </si>
  <si>
    <t>TRX-0139</t>
  </si>
  <si>
    <t>TRX-0140</t>
  </si>
  <si>
    <t>TRX-0141</t>
  </si>
  <si>
    <t>TRX-0142</t>
  </si>
  <si>
    <t>TRX-0143</t>
  </si>
  <si>
    <t>TRX-0144</t>
  </si>
  <si>
    <t>TRX-0145</t>
  </si>
  <si>
    <t>TRX-0146</t>
  </si>
  <si>
    <t>TRX-0147</t>
  </si>
  <si>
    <t>TRX-0148</t>
  </si>
  <si>
    <t>TRX-0149</t>
  </si>
  <si>
    <t>TRX-0150</t>
  </si>
  <si>
    <t>Size</t>
  </si>
  <si>
    <t>Supplier</t>
  </si>
  <si>
    <t>Active</t>
  </si>
  <si>
    <t>300 ml</t>
  </si>
  <si>
    <t>Truss Professional</t>
  </si>
  <si>
    <t>Yes</t>
  </si>
  <si>
    <t>180 g</t>
  </si>
  <si>
    <t>60 ml</t>
  </si>
  <si>
    <t>250 ml</t>
  </si>
  <si>
    <t>1 inch</t>
  </si>
  <si>
    <t>Sutra Beauty</t>
  </si>
  <si>
    <t>1.25 inch</t>
  </si>
  <si>
    <t>One Size</t>
  </si>
  <si>
    <t>1875W</t>
  </si>
  <si>
    <t>150 ml</t>
  </si>
  <si>
    <t>Inventory_ID</t>
  </si>
  <si>
    <t>Opening_Stock</t>
  </si>
  <si>
    <t>Units_Received</t>
  </si>
  <si>
    <t>Current_Stock</t>
  </si>
  <si>
    <t>Reorder_Point</t>
  </si>
  <si>
    <t>Recommended_Reorder_Qty</t>
  </si>
  <si>
    <t>Stock_Status</t>
  </si>
  <si>
    <t>Last_Received_Date</t>
  </si>
  <si>
    <t>INV-CG-001-TRU-SHP-001</t>
  </si>
  <si>
    <t>INV-CG-001-TRU-CND-002</t>
  </si>
  <si>
    <t>INV-CG-001-TRU-MSK-003</t>
  </si>
  <si>
    <t>INV-CG-001-TRU-OIL-004</t>
  </si>
  <si>
    <t>INV-CG-001-TRU-SER-005</t>
  </si>
  <si>
    <t>INV-CG-001-SUT-FIR-001</t>
  </si>
  <si>
    <t>INV-CG-001-SUT-CUR-002</t>
  </si>
  <si>
    <t>INV-CG-001-SUT-BLO-003</t>
  </si>
  <si>
    <t>INV-CG-001-SUT-DRY-004</t>
  </si>
  <si>
    <t>INV-CG-001-SUT-HSP-005</t>
  </si>
  <si>
    <t>INV-DR-001-TRU-SHP-001</t>
  </si>
  <si>
    <t>INV-DR-001-TRU-CND-002</t>
  </si>
  <si>
    <t>INV-DR-001-TRU-MSK-003</t>
  </si>
  <si>
    <t>INV-DR-001-TRU-OIL-004</t>
  </si>
  <si>
    <t>INV-DR-001-TRU-SER-005</t>
  </si>
  <si>
    <t>INV-DR-001-SUT-FIR-001</t>
  </si>
  <si>
    <t>INV-DR-001-SUT-CUR-002</t>
  </si>
  <si>
    <t>INV-DR-001-SUT-BLO-003</t>
  </si>
  <si>
    <t>INV-DR-001-SUT-DRY-004</t>
  </si>
  <si>
    <t>INV-DR-001-SUT-HSP-005</t>
  </si>
  <si>
    <t>City</t>
  </si>
  <si>
    <t>Channel</t>
  </si>
  <si>
    <t>Manager</t>
  </si>
  <si>
    <t>Notes</t>
  </si>
  <si>
    <t>Coral Gables</t>
  </si>
  <si>
    <t>In-Salon Retail</t>
  </si>
  <si>
    <t>Salon Manager</t>
  </si>
  <si>
    <t>Retail sales at front desk and stylist recommendation</t>
  </si>
  <si>
    <t>Doral</t>
  </si>
  <si>
    <t>Field</t>
  </si>
  <si>
    <t>Description</t>
  </si>
  <si>
    <t>Purpose</t>
  </si>
  <si>
    <t>Mock raw data to simulate Gabriel Samra in-salon retail sales for Sutra and Truss products.</t>
  </si>
  <si>
    <t>Locations Included</t>
  </si>
  <si>
    <t>Coral Gables and Doral only. No online sales included.</t>
  </si>
  <si>
    <t>Use Case</t>
  </si>
  <si>
    <t>Streamlit can read these tabs to calculate sales, margin, inventory risk, product performance, and reorder alerts.</t>
  </si>
  <si>
    <t>Data Status</t>
  </si>
  <si>
    <t>Fictitious sample data until real POS / inventory exports are provided.</t>
  </si>
  <si>
    <t>Manual Inputs</t>
  </si>
  <si>
    <t>Unit cost, retail price, opening stock, received units, reorder point, and recommended reorder quantity are assumed.</t>
  </si>
  <si>
    <t>API/External Data</t>
  </si>
  <si>
    <t>No live API data is included in this file. It is structured to be replaced later by real exports.</t>
  </si>
  <si>
    <t>Melia</t>
  </si>
  <si>
    <t>Magaly</t>
  </si>
  <si>
    <t>Isaac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</si>
</sst>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C6A052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7F1D1D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alesTransactionsTable" displayName="SalesTransactionsTable" ref="A1:S151">
  <autoFilter ref="A1:S151" xr:uid="{00000000-000C-0000-FFFF-FFFF00000000}"/>
  <tableColumns count="19">
    <tableColumn id="1" xr3:uid="{00000000-0010-0000-0000-000001000000}" name="Transaction_ID"/>
    <tableColumn id="2" xr3:uid="{00000000-0010-0000-0000-000002000000}" name="Date"/>
    <tableColumn id="3" xr3:uid="{00000000-0010-0000-0000-000003000000}" name="Store_ID"/>
    <tableColumn id="4" xr3:uid="{00000000-0010-0000-0000-000004000000}" name="Salon_Location"/>
    <tableColumn id="5" xr3:uid="{00000000-0010-0000-0000-000005000000}" name="Brand"/>
    <tableColumn id="6" xr3:uid="{00000000-0010-0000-0000-000006000000}" name="Product_ID"/>
    <tableColumn id="7" xr3:uid="{00000000-0010-0000-0000-000007000000}" name="Product_Name"/>
    <tableColumn id="8" xr3:uid="{00000000-0010-0000-0000-000008000000}" name="Category"/>
    <tableColumn id="9" xr3:uid="{00000000-0010-0000-0000-000009000000}" name="Stylist"/>
    <tableColumn id="10" xr3:uid="{00000000-0010-0000-0000-00000A000000}" name="Units_Sold"/>
    <tableColumn id="11" xr3:uid="{00000000-0010-0000-0000-00000B000000}" name="Unit_Cost"/>
    <tableColumn id="12" xr3:uid="{00000000-0010-0000-0000-00000C000000}" name="Retail_Price"/>
    <tableColumn id="13" xr3:uid="{00000000-0010-0000-0000-00000D000000}" name="Discount_%"/>
    <tableColumn id="14" xr3:uid="{00000000-0010-0000-0000-00000E000000}" name="Net_Sales"/>
    <tableColumn id="15" xr3:uid="{00000000-0010-0000-0000-00000F000000}" name="COGS"/>
    <tableColumn id="16" xr3:uid="{00000000-0010-0000-0000-000010000000}" name="Gross_Profit"/>
    <tableColumn id="17" xr3:uid="{00000000-0010-0000-0000-000011000000}" name="Gross_Margin_%"/>
    <tableColumn id="18" xr3:uid="{00000000-0010-0000-0000-000012000000}" name="Payment_Method"/>
    <tableColumn id="19" xr3:uid="{00000000-0010-0000-0000-000013000000}" name="Customer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sTable" displayName="ProductsTable" ref="A1:I11">
  <tableColumns count="9">
    <tableColumn id="1" xr3:uid="{00000000-0010-0000-0100-000001000000}" name="Product_ID"/>
    <tableColumn id="2" xr3:uid="{00000000-0010-0000-0100-000002000000}" name="Brand"/>
    <tableColumn id="3" xr3:uid="{00000000-0010-0000-0100-000003000000}" name="Product_Name"/>
    <tableColumn id="4" xr3:uid="{00000000-0010-0000-0100-000004000000}" name="Category"/>
    <tableColumn id="5" xr3:uid="{00000000-0010-0000-0100-000005000000}" name="Size"/>
    <tableColumn id="6" xr3:uid="{00000000-0010-0000-0100-000006000000}" name="Unit_Cost"/>
    <tableColumn id="7" xr3:uid="{00000000-0010-0000-0100-000007000000}" name="Retail_Price"/>
    <tableColumn id="8" xr3:uid="{00000000-0010-0000-0100-000008000000}" name="Supplier"/>
    <tableColumn id="9" xr3:uid="{00000000-0010-0000-0100-000009000000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InventoryTable" displayName="InventoryTable" ref="A1:O21">
  <tableColumns count="15">
    <tableColumn id="1" xr3:uid="{00000000-0010-0000-0200-000001000000}" name="Inventory_ID"/>
    <tableColumn id="2" xr3:uid="{00000000-0010-0000-0200-000002000000}" name="Store_ID"/>
    <tableColumn id="3" xr3:uid="{00000000-0010-0000-0200-000003000000}" name="Salon_Location"/>
    <tableColumn id="4" xr3:uid="{00000000-0010-0000-0200-000004000000}" name="Brand"/>
    <tableColumn id="5" xr3:uid="{00000000-0010-0000-0200-000005000000}" name="Product_ID"/>
    <tableColumn id="6" xr3:uid="{00000000-0010-0000-0200-000006000000}" name="Product_Name"/>
    <tableColumn id="7" xr3:uid="{00000000-0010-0000-0200-000007000000}" name="Category"/>
    <tableColumn id="8" xr3:uid="{00000000-0010-0000-0200-000008000000}" name="Opening_Stock"/>
    <tableColumn id="9" xr3:uid="{00000000-0010-0000-0200-000009000000}" name="Units_Received"/>
    <tableColumn id="10" xr3:uid="{00000000-0010-0000-0200-00000A000000}" name="Units_Sold"/>
    <tableColumn id="11" xr3:uid="{00000000-0010-0000-0200-00000B000000}" name="Current_Stock"/>
    <tableColumn id="12" xr3:uid="{00000000-0010-0000-0200-00000C000000}" name="Reorder_Point"/>
    <tableColumn id="13" xr3:uid="{00000000-0010-0000-0200-00000D000000}" name="Recommended_Reorder_Qty"/>
    <tableColumn id="14" xr3:uid="{00000000-0010-0000-0200-00000E000000}" name="Stock_Status"/>
    <tableColumn id="15" xr3:uid="{00000000-0010-0000-0200-00000F000000}" name="Last_Received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StoresTable" displayName="StoresTable" ref="A1:F3">
  <tableColumns count="6">
    <tableColumn id="1" xr3:uid="{00000000-0010-0000-0300-000001000000}" name="Store_ID"/>
    <tableColumn id="2" xr3:uid="{00000000-0010-0000-0300-000002000000}" name="Salon_Location"/>
    <tableColumn id="3" xr3:uid="{00000000-0010-0000-0300-000003000000}" name="City"/>
    <tableColumn id="4" xr3:uid="{00000000-0010-0000-0300-000004000000}" name="Channel"/>
    <tableColumn id="5" xr3:uid="{00000000-0010-0000-0300-000005000000}" name="Manager"/>
    <tableColumn id="6" xr3:uid="{00000000-0010-0000-03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tabSelected="1" workbookViewId="0">
      <selection activeCell="I1" sqref="I1"/>
    </sheetView>
  </sheetViews>
  <sheetFormatPr baseColWidth="10" defaultColWidth="8.83203125" defaultRowHeight="15"/>
  <cols>
    <col min="1" max="1" width="14.83203125" customWidth="1"/>
    <col min="2" max="2" width="6.5" customWidth="1"/>
    <col min="3" max="3" width="9.6640625" customWidth="1"/>
    <col min="4" max="4" width="28" customWidth="1"/>
    <col min="5" max="5" width="7.5" customWidth="1"/>
    <col min="6" max="6" width="11.83203125" customWidth="1"/>
    <col min="7" max="7" width="24" customWidth="1"/>
    <col min="8" max="8" width="12.6640625" customWidth="1"/>
    <col min="9" max="9" width="14.33203125" customWidth="1"/>
    <col min="10" max="10" width="11.5" customWidth="1"/>
    <col min="11" max="11" width="10.6640625" customWidth="1"/>
    <col min="12" max="12" width="12.33203125" customWidth="1"/>
    <col min="13" max="13" width="13.83203125" customWidth="1"/>
    <col min="14" max="14" width="10.83203125" customWidth="1"/>
    <col min="15" max="15" width="13.1640625" customWidth="1"/>
    <col min="16" max="16" width="18.6640625" customWidth="1"/>
    <col min="17" max="17" width="22.83203125" customWidth="1"/>
    <col min="18" max="18" width="24.33203125" customWidth="1"/>
    <col min="19" max="19" width="31.5" customWidth="1"/>
  </cols>
  <sheetData>
    <row r="1" spans="1:26" ht="37.2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2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 spans="1:26">
      <c r="A2" t="s">
        <v>19</v>
      </c>
      <c r="B2">
        <v>46093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275</v>
      </c>
      <c r="J2">
        <v>1</v>
      </c>
      <c r="K2">
        <v>15.25</v>
      </c>
      <c r="L2">
        <v>34</v>
      </c>
      <c r="M2">
        <v>0</v>
      </c>
      <c r="N2">
        <f t="shared" ref="N2:N33" si="0">J2*L2*(1-M2)</f>
        <v>34</v>
      </c>
      <c r="O2">
        <f t="shared" ref="O2:O33" si="1">J2*K2</f>
        <v>15.25</v>
      </c>
      <c r="P2">
        <f t="shared" ref="P2:P33" si="2">N2-O2</f>
        <v>18.75</v>
      </c>
      <c r="Q2">
        <f t="shared" ref="Q2:Q33" si="3">IF(N2=0,0,P2/N2)</f>
        <v>0.55147058823529416</v>
      </c>
      <c r="R2" t="s">
        <v>26</v>
      </c>
      <c r="S2" t="s">
        <v>27</v>
      </c>
    </row>
    <row r="3" spans="1:26">
      <c r="A3" t="s">
        <v>28</v>
      </c>
      <c r="B3">
        <v>46046</v>
      </c>
      <c r="C3" t="s">
        <v>20</v>
      </c>
      <c r="D3" t="s">
        <v>21</v>
      </c>
      <c r="E3" t="s">
        <v>22</v>
      </c>
      <c r="F3" t="s">
        <v>29</v>
      </c>
      <c r="G3" t="s">
        <v>30</v>
      </c>
      <c r="H3" t="s">
        <v>25</v>
      </c>
      <c r="I3" t="s">
        <v>274</v>
      </c>
      <c r="J3">
        <v>1</v>
      </c>
      <c r="K3">
        <v>14.5</v>
      </c>
      <c r="L3">
        <v>32</v>
      </c>
      <c r="M3">
        <v>0</v>
      </c>
      <c r="N3">
        <f t="shared" si="0"/>
        <v>32</v>
      </c>
      <c r="O3">
        <f t="shared" si="1"/>
        <v>14.5</v>
      </c>
      <c r="P3">
        <f t="shared" si="2"/>
        <v>17.5</v>
      </c>
      <c r="Q3">
        <f t="shared" si="3"/>
        <v>0.546875</v>
      </c>
      <c r="R3" t="s">
        <v>31</v>
      </c>
      <c r="S3" t="s">
        <v>27</v>
      </c>
    </row>
    <row r="4" spans="1:26">
      <c r="A4" t="s">
        <v>32</v>
      </c>
      <c r="B4">
        <v>46094</v>
      </c>
      <c r="C4" t="s">
        <v>33</v>
      </c>
      <c r="D4" t="s">
        <v>34</v>
      </c>
      <c r="E4" t="s">
        <v>22</v>
      </c>
      <c r="F4" t="s">
        <v>35</v>
      </c>
      <c r="G4" t="s">
        <v>36</v>
      </c>
      <c r="H4" t="s">
        <v>37</v>
      </c>
      <c r="I4" t="s">
        <v>276</v>
      </c>
      <c r="J4">
        <v>2</v>
      </c>
      <c r="K4">
        <v>18</v>
      </c>
      <c r="L4">
        <v>42</v>
      </c>
      <c r="M4">
        <v>0</v>
      </c>
      <c r="N4">
        <f t="shared" si="0"/>
        <v>84</v>
      </c>
      <c r="O4">
        <f t="shared" si="1"/>
        <v>36</v>
      </c>
      <c r="P4">
        <f t="shared" si="2"/>
        <v>48</v>
      </c>
      <c r="Q4">
        <f t="shared" si="3"/>
        <v>0.5714285714285714</v>
      </c>
      <c r="R4" t="s">
        <v>38</v>
      </c>
      <c r="S4" t="s">
        <v>39</v>
      </c>
    </row>
    <row r="5" spans="1:26">
      <c r="A5" t="s">
        <v>40</v>
      </c>
      <c r="B5">
        <v>46078</v>
      </c>
      <c r="C5" t="s">
        <v>20</v>
      </c>
      <c r="D5" t="s">
        <v>21</v>
      </c>
      <c r="E5" t="s">
        <v>22</v>
      </c>
      <c r="F5" t="s">
        <v>41</v>
      </c>
      <c r="G5" t="s">
        <v>42</v>
      </c>
      <c r="H5" t="s">
        <v>43</v>
      </c>
      <c r="I5" t="s">
        <v>275</v>
      </c>
      <c r="J5">
        <v>3</v>
      </c>
      <c r="K5">
        <v>19.75</v>
      </c>
      <c r="L5">
        <v>48</v>
      </c>
      <c r="M5">
        <v>0</v>
      </c>
      <c r="N5">
        <f t="shared" si="0"/>
        <v>144</v>
      </c>
      <c r="O5">
        <f t="shared" si="1"/>
        <v>59.25</v>
      </c>
      <c r="P5">
        <f t="shared" si="2"/>
        <v>84.75</v>
      </c>
      <c r="Q5">
        <f t="shared" si="3"/>
        <v>0.58854166666666663</v>
      </c>
      <c r="R5" t="s">
        <v>38</v>
      </c>
      <c r="S5" t="s">
        <v>44</v>
      </c>
    </row>
    <row r="6" spans="1:26">
      <c r="A6" t="s">
        <v>45</v>
      </c>
      <c r="B6">
        <v>46090</v>
      </c>
      <c r="C6" t="s">
        <v>33</v>
      </c>
      <c r="D6" t="s">
        <v>34</v>
      </c>
      <c r="E6" t="s">
        <v>46</v>
      </c>
      <c r="F6" t="s">
        <v>47</v>
      </c>
      <c r="G6" t="s">
        <v>48</v>
      </c>
      <c r="H6" t="s">
        <v>49</v>
      </c>
      <c r="I6" t="s">
        <v>275</v>
      </c>
      <c r="J6">
        <v>2</v>
      </c>
      <c r="K6">
        <v>38</v>
      </c>
      <c r="L6">
        <v>89</v>
      </c>
      <c r="M6">
        <v>0.05</v>
      </c>
      <c r="N6">
        <f t="shared" si="0"/>
        <v>169.1</v>
      </c>
      <c r="O6">
        <f t="shared" si="1"/>
        <v>76</v>
      </c>
      <c r="P6">
        <f t="shared" si="2"/>
        <v>93.1</v>
      </c>
      <c r="Q6">
        <f t="shared" si="3"/>
        <v>0.550561797752809</v>
      </c>
      <c r="R6" t="s">
        <v>38</v>
      </c>
      <c r="S6" t="s">
        <v>44</v>
      </c>
    </row>
    <row r="7" spans="1:26">
      <c r="A7" t="s">
        <v>50</v>
      </c>
      <c r="B7">
        <v>46115</v>
      </c>
      <c r="C7" t="s">
        <v>33</v>
      </c>
      <c r="D7" t="s">
        <v>34</v>
      </c>
      <c r="E7" t="s">
        <v>46</v>
      </c>
      <c r="F7" t="s">
        <v>51</v>
      </c>
      <c r="G7" t="s">
        <v>52</v>
      </c>
      <c r="H7" t="s">
        <v>49</v>
      </c>
      <c r="I7" t="s">
        <v>274</v>
      </c>
      <c r="J7">
        <v>1</v>
      </c>
      <c r="K7">
        <v>62</v>
      </c>
      <c r="L7">
        <v>149</v>
      </c>
      <c r="M7">
        <v>0.05</v>
      </c>
      <c r="N7">
        <f t="shared" si="0"/>
        <v>141.54999999999998</v>
      </c>
      <c r="O7">
        <f t="shared" si="1"/>
        <v>62</v>
      </c>
      <c r="P7">
        <f t="shared" si="2"/>
        <v>79.549999999999983</v>
      </c>
      <c r="Q7">
        <f t="shared" si="3"/>
        <v>0.56199222889438361</v>
      </c>
      <c r="R7" t="s">
        <v>31</v>
      </c>
      <c r="S7" t="s">
        <v>39</v>
      </c>
    </row>
    <row r="8" spans="1:26">
      <c r="A8" t="s">
        <v>53</v>
      </c>
      <c r="B8">
        <v>46048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274</v>
      </c>
      <c r="J8">
        <v>1</v>
      </c>
      <c r="K8">
        <v>15.25</v>
      </c>
      <c r="L8">
        <v>34</v>
      </c>
      <c r="M8">
        <v>0</v>
      </c>
      <c r="N8">
        <f t="shared" si="0"/>
        <v>34</v>
      </c>
      <c r="O8">
        <f t="shared" si="1"/>
        <v>15.25</v>
      </c>
      <c r="P8">
        <f t="shared" si="2"/>
        <v>18.75</v>
      </c>
      <c r="Q8">
        <f t="shared" si="3"/>
        <v>0.55147058823529416</v>
      </c>
      <c r="R8" t="s">
        <v>31</v>
      </c>
      <c r="S8" t="s">
        <v>39</v>
      </c>
    </row>
    <row r="9" spans="1:26">
      <c r="A9" t="s">
        <v>54</v>
      </c>
      <c r="B9">
        <v>46091</v>
      </c>
      <c r="C9" t="s">
        <v>20</v>
      </c>
      <c r="D9" t="s">
        <v>21</v>
      </c>
      <c r="E9" t="s">
        <v>46</v>
      </c>
      <c r="F9" t="s">
        <v>47</v>
      </c>
      <c r="G9" t="s">
        <v>48</v>
      </c>
      <c r="H9" t="s">
        <v>49</v>
      </c>
      <c r="I9" t="s">
        <v>275</v>
      </c>
      <c r="J9">
        <v>1</v>
      </c>
      <c r="K9">
        <v>38</v>
      </c>
      <c r="L9">
        <v>89</v>
      </c>
      <c r="M9">
        <v>0.05</v>
      </c>
      <c r="N9">
        <f t="shared" si="0"/>
        <v>84.55</v>
      </c>
      <c r="O9">
        <f t="shared" si="1"/>
        <v>38</v>
      </c>
      <c r="P9">
        <f t="shared" si="2"/>
        <v>46.55</v>
      </c>
      <c r="Q9">
        <f t="shared" si="3"/>
        <v>0.550561797752809</v>
      </c>
      <c r="R9" t="s">
        <v>31</v>
      </c>
      <c r="S9" t="s">
        <v>55</v>
      </c>
    </row>
    <row r="10" spans="1:26">
      <c r="A10" t="s">
        <v>56</v>
      </c>
      <c r="B10">
        <v>46120</v>
      </c>
      <c r="C10" t="s">
        <v>33</v>
      </c>
      <c r="D10" t="s">
        <v>34</v>
      </c>
      <c r="E10" t="s">
        <v>22</v>
      </c>
      <c r="F10" t="s">
        <v>57</v>
      </c>
      <c r="G10" t="s">
        <v>58</v>
      </c>
      <c r="H10" t="s">
        <v>43</v>
      </c>
      <c r="I10" t="s">
        <v>276</v>
      </c>
      <c r="J10">
        <v>1</v>
      </c>
      <c r="K10">
        <v>20</v>
      </c>
      <c r="L10">
        <v>45</v>
      </c>
      <c r="M10">
        <v>0.1</v>
      </c>
      <c r="N10">
        <f t="shared" si="0"/>
        <v>40.5</v>
      </c>
      <c r="O10">
        <f t="shared" si="1"/>
        <v>20</v>
      </c>
      <c r="P10">
        <f t="shared" si="2"/>
        <v>20.5</v>
      </c>
      <c r="Q10">
        <f t="shared" si="3"/>
        <v>0.50617283950617287</v>
      </c>
      <c r="R10" t="s">
        <v>59</v>
      </c>
      <c r="S10" t="s">
        <v>44</v>
      </c>
    </row>
    <row r="11" spans="1:26">
      <c r="A11" t="s">
        <v>60</v>
      </c>
      <c r="B11">
        <v>46103</v>
      </c>
      <c r="C11" t="s">
        <v>20</v>
      </c>
      <c r="D11" t="s">
        <v>21</v>
      </c>
      <c r="E11" t="s">
        <v>22</v>
      </c>
      <c r="F11" t="s">
        <v>35</v>
      </c>
      <c r="G11" t="s">
        <v>36</v>
      </c>
      <c r="H11" t="s">
        <v>37</v>
      </c>
      <c r="I11" t="s">
        <v>274</v>
      </c>
      <c r="J11">
        <v>1</v>
      </c>
      <c r="K11">
        <v>18</v>
      </c>
      <c r="L11">
        <v>42</v>
      </c>
      <c r="M11">
        <v>0</v>
      </c>
      <c r="N11">
        <f t="shared" si="0"/>
        <v>42</v>
      </c>
      <c r="O11">
        <f t="shared" si="1"/>
        <v>18</v>
      </c>
      <c r="P11">
        <f t="shared" si="2"/>
        <v>24</v>
      </c>
      <c r="Q11">
        <f t="shared" si="3"/>
        <v>0.5714285714285714</v>
      </c>
      <c r="R11" t="s">
        <v>31</v>
      </c>
      <c r="S11" t="s">
        <v>27</v>
      </c>
    </row>
    <row r="12" spans="1:26">
      <c r="A12" t="s">
        <v>61</v>
      </c>
      <c r="B12">
        <v>46059</v>
      </c>
      <c r="C12" t="s">
        <v>33</v>
      </c>
      <c r="D12" t="s">
        <v>34</v>
      </c>
      <c r="E12" t="s">
        <v>46</v>
      </c>
      <c r="F12" t="s">
        <v>62</v>
      </c>
      <c r="G12" t="s">
        <v>63</v>
      </c>
      <c r="H12" t="s">
        <v>49</v>
      </c>
      <c r="I12" t="s">
        <v>276</v>
      </c>
      <c r="J12">
        <v>1</v>
      </c>
      <c r="K12">
        <v>42</v>
      </c>
      <c r="L12">
        <v>99</v>
      </c>
      <c r="M12">
        <v>0</v>
      </c>
      <c r="N12">
        <f t="shared" si="0"/>
        <v>99</v>
      </c>
      <c r="O12">
        <f t="shared" si="1"/>
        <v>42</v>
      </c>
      <c r="P12">
        <f t="shared" si="2"/>
        <v>57</v>
      </c>
      <c r="Q12">
        <f t="shared" si="3"/>
        <v>0.5757575757575758</v>
      </c>
      <c r="R12" t="s">
        <v>38</v>
      </c>
      <c r="S12" t="s">
        <v>27</v>
      </c>
    </row>
    <row r="13" spans="1:26">
      <c r="A13" t="s">
        <v>64</v>
      </c>
      <c r="B13">
        <v>46058</v>
      </c>
      <c r="C13" t="s">
        <v>20</v>
      </c>
      <c r="D13" t="s">
        <v>21</v>
      </c>
      <c r="E13" t="s">
        <v>46</v>
      </c>
      <c r="F13" t="s">
        <v>47</v>
      </c>
      <c r="G13" t="s">
        <v>48</v>
      </c>
      <c r="H13" t="s">
        <v>49</v>
      </c>
      <c r="I13" t="s">
        <v>274</v>
      </c>
      <c r="J13">
        <v>1</v>
      </c>
      <c r="K13">
        <v>38</v>
      </c>
      <c r="L13">
        <v>89</v>
      </c>
      <c r="M13">
        <v>0</v>
      </c>
      <c r="N13">
        <f t="shared" si="0"/>
        <v>89</v>
      </c>
      <c r="O13">
        <f t="shared" si="1"/>
        <v>38</v>
      </c>
      <c r="P13">
        <f t="shared" si="2"/>
        <v>51</v>
      </c>
      <c r="Q13">
        <f t="shared" si="3"/>
        <v>0.5730337078651685</v>
      </c>
      <c r="R13" t="s">
        <v>26</v>
      </c>
      <c r="S13" t="s">
        <v>55</v>
      </c>
    </row>
    <row r="14" spans="1:26">
      <c r="A14" t="s">
        <v>65</v>
      </c>
      <c r="B14">
        <v>46039</v>
      </c>
      <c r="C14" t="s">
        <v>33</v>
      </c>
      <c r="D14" t="s">
        <v>34</v>
      </c>
      <c r="E14" t="s">
        <v>22</v>
      </c>
      <c r="F14" t="s">
        <v>57</v>
      </c>
      <c r="G14" t="s">
        <v>58</v>
      </c>
      <c r="H14" t="s">
        <v>43</v>
      </c>
      <c r="I14" t="s">
        <v>275</v>
      </c>
      <c r="J14">
        <v>1</v>
      </c>
      <c r="K14">
        <v>20</v>
      </c>
      <c r="L14">
        <v>45</v>
      </c>
      <c r="M14">
        <v>0</v>
      </c>
      <c r="N14">
        <f t="shared" si="0"/>
        <v>45</v>
      </c>
      <c r="O14">
        <f t="shared" si="1"/>
        <v>20</v>
      </c>
      <c r="P14">
        <f t="shared" si="2"/>
        <v>25</v>
      </c>
      <c r="Q14">
        <f t="shared" si="3"/>
        <v>0.55555555555555558</v>
      </c>
      <c r="R14" t="s">
        <v>59</v>
      </c>
      <c r="S14" t="s">
        <v>44</v>
      </c>
    </row>
    <row r="15" spans="1:26">
      <c r="A15" t="s">
        <v>66</v>
      </c>
      <c r="B15">
        <v>46110</v>
      </c>
      <c r="C15" t="s">
        <v>33</v>
      </c>
      <c r="D15" t="s">
        <v>34</v>
      </c>
      <c r="E15" t="s">
        <v>22</v>
      </c>
      <c r="F15" t="s">
        <v>23</v>
      </c>
      <c r="G15" t="s">
        <v>24</v>
      </c>
      <c r="H15" t="s">
        <v>25</v>
      </c>
      <c r="I15" t="s">
        <v>275</v>
      </c>
      <c r="J15">
        <v>1</v>
      </c>
      <c r="K15">
        <v>15.25</v>
      </c>
      <c r="L15">
        <v>34</v>
      </c>
      <c r="M15">
        <v>0</v>
      </c>
      <c r="N15">
        <f t="shared" si="0"/>
        <v>34</v>
      </c>
      <c r="O15">
        <f t="shared" si="1"/>
        <v>15.25</v>
      </c>
      <c r="P15">
        <f t="shared" si="2"/>
        <v>18.75</v>
      </c>
      <c r="Q15">
        <f t="shared" si="3"/>
        <v>0.55147058823529416</v>
      </c>
      <c r="R15" t="s">
        <v>26</v>
      </c>
      <c r="S15" t="s">
        <v>39</v>
      </c>
    </row>
    <row r="16" spans="1:26">
      <c r="A16" t="s">
        <v>67</v>
      </c>
      <c r="B16">
        <v>46152</v>
      </c>
      <c r="C16" t="s">
        <v>20</v>
      </c>
      <c r="D16" t="s">
        <v>21</v>
      </c>
      <c r="E16" t="s">
        <v>46</v>
      </c>
      <c r="F16" t="s">
        <v>51</v>
      </c>
      <c r="G16" t="s">
        <v>52</v>
      </c>
      <c r="H16" t="s">
        <v>49</v>
      </c>
      <c r="I16" t="s">
        <v>276</v>
      </c>
      <c r="J16">
        <v>2</v>
      </c>
      <c r="K16">
        <v>62</v>
      </c>
      <c r="L16">
        <v>149</v>
      </c>
      <c r="M16">
        <v>0.1</v>
      </c>
      <c r="N16">
        <f t="shared" si="0"/>
        <v>268.2</v>
      </c>
      <c r="O16">
        <f t="shared" si="1"/>
        <v>124</v>
      </c>
      <c r="P16">
        <f t="shared" si="2"/>
        <v>144.19999999999999</v>
      </c>
      <c r="Q16">
        <f t="shared" si="3"/>
        <v>0.53765846383296045</v>
      </c>
      <c r="R16" t="s">
        <v>31</v>
      </c>
      <c r="S16" t="s">
        <v>55</v>
      </c>
    </row>
    <row r="17" spans="1:19">
      <c r="A17" t="s">
        <v>68</v>
      </c>
      <c r="B17">
        <v>46161</v>
      </c>
      <c r="C17" t="s">
        <v>20</v>
      </c>
      <c r="D17" t="s">
        <v>21</v>
      </c>
      <c r="E17" t="s">
        <v>46</v>
      </c>
      <c r="F17" t="s">
        <v>47</v>
      </c>
      <c r="G17" t="s">
        <v>48</v>
      </c>
      <c r="H17" t="s">
        <v>49</v>
      </c>
      <c r="I17" t="s">
        <v>274</v>
      </c>
      <c r="J17">
        <v>3</v>
      </c>
      <c r="K17">
        <v>38</v>
      </c>
      <c r="L17">
        <v>89</v>
      </c>
      <c r="M17">
        <v>0.1</v>
      </c>
      <c r="N17">
        <f t="shared" si="0"/>
        <v>240.3</v>
      </c>
      <c r="O17">
        <f t="shared" si="1"/>
        <v>114</v>
      </c>
      <c r="P17">
        <f t="shared" si="2"/>
        <v>126.30000000000001</v>
      </c>
      <c r="Q17">
        <f t="shared" si="3"/>
        <v>0.52559300873907622</v>
      </c>
      <c r="R17" t="s">
        <v>59</v>
      </c>
      <c r="S17" t="s">
        <v>27</v>
      </c>
    </row>
    <row r="18" spans="1:19">
      <c r="A18" t="s">
        <v>69</v>
      </c>
      <c r="B18">
        <v>46115</v>
      </c>
      <c r="C18" t="s">
        <v>20</v>
      </c>
      <c r="D18" t="s">
        <v>21</v>
      </c>
      <c r="E18" t="s">
        <v>22</v>
      </c>
      <c r="F18" t="s">
        <v>29</v>
      </c>
      <c r="G18" t="s">
        <v>30</v>
      </c>
      <c r="H18" t="s">
        <v>25</v>
      </c>
      <c r="I18" t="s">
        <v>276</v>
      </c>
      <c r="J18">
        <v>2</v>
      </c>
      <c r="K18">
        <v>14.5</v>
      </c>
      <c r="L18">
        <v>32</v>
      </c>
      <c r="M18">
        <v>0.05</v>
      </c>
      <c r="N18">
        <f t="shared" si="0"/>
        <v>60.8</v>
      </c>
      <c r="O18">
        <f t="shared" si="1"/>
        <v>29</v>
      </c>
      <c r="P18">
        <f t="shared" si="2"/>
        <v>31.799999999999997</v>
      </c>
      <c r="Q18">
        <f t="shared" si="3"/>
        <v>0.52302631578947367</v>
      </c>
      <c r="R18" t="s">
        <v>31</v>
      </c>
      <c r="S18" t="s">
        <v>44</v>
      </c>
    </row>
    <row r="19" spans="1:19">
      <c r="A19" t="s">
        <v>70</v>
      </c>
      <c r="B19">
        <v>46044</v>
      </c>
      <c r="C19" t="s">
        <v>20</v>
      </c>
      <c r="D19" t="s">
        <v>21</v>
      </c>
      <c r="E19" t="s">
        <v>22</v>
      </c>
      <c r="F19" t="s">
        <v>35</v>
      </c>
      <c r="G19" t="s">
        <v>36</v>
      </c>
      <c r="H19" t="s">
        <v>37</v>
      </c>
      <c r="I19" t="s">
        <v>276</v>
      </c>
      <c r="J19">
        <v>1</v>
      </c>
      <c r="K19">
        <v>18</v>
      </c>
      <c r="L19">
        <v>42</v>
      </c>
      <c r="M19">
        <v>0.05</v>
      </c>
      <c r="N19">
        <f t="shared" si="0"/>
        <v>39.9</v>
      </c>
      <c r="O19">
        <f t="shared" si="1"/>
        <v>18</v>
      </c>
      <c r="P19">
        <f t="shared" si="2"/>
        <v>21.9</v>
      </c>
      <c r="Q19">
        <f t="shared" si="3"/>
        <v>0.54887218045112784</v>
      </c>
      <c r="R19" t="s">
        <v>31</v>
      </c>
      <c r="S19" t="s">
        <v>27</v>
      </c>
    </row>
    <row r="20" spans="1:19">
      <c r="A20" t="s">
        <v>71</v>
      </c>
      <c r="B20">
        <v>46090</v>
      </c>
      <c r="C20" t="s">
        <v>20</v>
      </c>
      <c r="D20" t="s">
        <v>21</v>
      </c>
      <c r="E20" t="s">
        <v>46</v>
      </c>
      <c r="F20" t="s">
        <v>51</v>
      </c>
      <c r="G20" t="s">
        <v>52</v>
      </c>
      <c r="H20" t="s">
        <v>49</v>
      </c>
      <c r="I20" t="s">
        <v>276</v>
      </c>
      <c r="J20">
        <v>1</v>
      </c>
      <c r="K20">
        <v>62</v>
      </c>
      <c r="L20">
        <v>149</v>
      </c>
      <c r="M20">
        <v>0</v>
      </c>
      <c r="N20">
        <f t="shared" si="0"/>
        <v>149</v>
      </c>
      <c r="O20">
        <f t="shared" si="1"/>
        <v>62</v>
      </c>
      <c r="P20">
        <f t="shared" si="2"/>
        <v>87</v>
      </c>
      <c r="Q20">
        <f t="shared" si="3"/>
        <v>0.58389261744966447</v>
      </c>
      <c r="R20" t="s">
        <v>31</v>
      </c>
      <c r="S20" t="s">
        <v>39</v>
      </c>
    </row>
    <row r="21" spans="1:19">
      <c r="A21" t="s">
        <v>72</v>
      </c>
      <c r="B21">
        <v>46135</v>
      </c>
      <c r="C21" t="s">
        <v>33</v>
      </c>
      <c r="D21" t="s">
        <v>34</v>
      </c>
      <c r="E21" t="s">
        <v>46</v>
      </c>
      <c r="F21" t="s">
        <v>62</v>
      </c>
      <c r="G21" t="s">
        <v>63</v>
      </c>
      <c r="H21" t="s">
        <v>49</v>
      </c>
      <c r="I21" t="s">
        <v>276</v>
      </c>
      <c r="J21">
        <v>2</v>
      </c>
      <c r="K21">
        <v>42</v>
      </c>
      <c r="L21">
        <v>99</v>
      </c>
      <c r="M21">
        <v>0</v>
      </c>
      <c r="N21">
        <f t="shared" si="0"/>
        <v>198</v>
      </c>
      <c r="O21">
        <f t="shared" si="1"/>
        <v>84</v>
      </c>
      <c r="P21">
        <f t="shared" si="2"/>
        <v>114</v>
      </c>
      <c r="Q21">
        <f t="shared" si="3"/>
        <v>0.5757575757575758</v>
      </c>
      <c r="R21" t="s">
        <v>31</v>
      </c>
      <c r="S21" t="s">
        <v>44</v>
      </c>
    </row>
    <row r="22" spans="1:19">
      <c r="A22" t="s">
        <v>73</v>
      </c>
      <c r="B22">
        <v>46081</v>
      </c>
      <c r="C22" t="s">
        <v>20</v>
      </c>
      <c r="D22" t="s">
        <v>21</v>
      </c>
      <c r="E22" t="s">
        <v>46</v>
      </c>
      <c r="F22" t="s">
        <v>47</v>
      </c>
      <c r="G22" t="s">
        <v>48</v>
      </c>
      <c r="H22" t="s">
        <v>49</v>
      </c>
      <c r="I22" t="s">
        <v>274</v>
      </c>
      <c r="J22">
        <v>1</v>
      </c>
      <c r="K22">
        <v>38</v>
      </c>
      <c r="L22">
        <v>89</v>
      </c>
      <c r="M22">
        <v>0</v>
      </c>
      <c r="N22">
        <f t="shared" si="0"/>
        <v>89</v>
      </c>
      <c r="O22">
        <f t="shared" si="1"/>
        <v>38</v>
      </c>
      <c r="P22">
        <f t="shared" si="2"/>
        <v>51</v>
      </c>
      <c r="Q22">
        <f t="shared" si="3"/>
        <v>0.5730337078651685</v>
      </c>
      <c r="R22" t="s">
        <v>31</v>
      </c>
      <c r="S22" t="s">
        <v>44</v>
      </c>
    </row>
    <row r="23" spans="1:19">
      <c r="A23" t="s">
        <v>74</v>
      </c>
      <c r="B23">
        <v>46041</v>
      </c>
      <c r="C23" t="s">
        <v>33</v>
      </c>
      <c r="D23" t="s">
        <v>34</v>
      </c>
      <c r="E23" t="s">
        <v>22</v>
      </c>
      <c r="F23" t="s">
        <v>29</v>
      </c>
      <c r="G23" t="s">
        <v>30</v>
      </c>
      <c r="H23" t="s">
        <v>25</v>
      </c>
      <c r="I23" t="s">
        <v>275</v>
      </c>
      <c r="J23">
        <v>1</v>
      </c>
      <c r="K23">
        <v>14.5</v>
      </c>
      <c r="L23">
        <v>32</v>
      </c>
      <c r="M23">
        <v>0</v>
      </c>
      <c r="N23">
        <f t="shared" si="0"/>
        <v>32</v>
      </c>
      <c r="O23">
        <f t="shared" si="1"/>
        <v>14.5</v>
      </c>
      <c r="P23">
        <f t="shared" si="2"/>
        <v>17.5</v>
      </c>
      <c r="Q23">
        <f t="shared" si="3"/>
        <v>0.546875</v>
      </c>
      <c r="R23" t="s">
        <v>31</v>
      </c>
      <c r="S23" t="s">
        <v>55</v>
      </c>
    </row>
    <row r="24" spans="1:19">
      <c r="A24" t="s">
        <v>75</v>
      </c>
      <c r="B24">
        <v>46085</v>
      </c>
      <c r="C24" t="s">
        <v>33</v>
      </c>
      <c r="D24" t="s">
        <v>34</v>
      </c>
      <c r="E24" t="s">
        <v>46</v>
      </c>
      <c r="F24" t="s">
        <v>76</v>
      </c>
      <c r="G24" t="s">
        <v>77</v>
      </c>
      <c r="H24" t="s">
        <v>78</v>
      </c>
      <c r="I24" t="s">
        <v>276</v>
      </c>
      <c r="J24">
        <v>2</v>
      </c>
      <c r="K24">
        <v>9.5</v>
      </c>
      <c r="L24">
        <v>24</v>
      </c>
      <c r="M24">
        <v>0.05</v>
      </c>
      <c r="N24">
        <f t="shared" si="0"/>
        <v>45.599999999999994</v>
      </c>
      <c r="O24">
        <f t="shared" si="1"/>
        <v>19</v>
      </c>
      <c r="P24">
        <f t="shared" si="2"/>
        <v>26.599999999999994</v>
      </c>
      <c r="Q24">
        <f t="shared" si="3"/>
        <v>0.58333333333333326</v>
      </c>
      <c r="R24" t="s">
        <v>26</v>
      </c>
      <c r="S24" t="s">
        <v>44</v>
      </c>
    </row>
    <row r="25" spans="1:19">
      <c r="A25" t="s">
        <v>79</v>
      </c>
      <c r="B25">
        <v>46131</v>
      </c>
      <c r="C25" t="s">
        <v>33</v>
      </c>
      <c r="D25" t="s">
        <v>34</v>
      </c>
      <c r="E25" t="s">
        <v>46</v>
      </c>
      <c r="F25" t="s">
        <v>62</v>
      </c>
      <c r="G25" t="s">
        <v>63</v>
      </c>
      <c r="H25" t="s">
        <v>49</v>
      </c>
      <c r="I25" t="s">
        <v>274</v>
      </c>
      <c r="J25">
        <v>1</v>
      </c>
      <c r="K25">
        <v>42</v>
      </c>
      <c r="L25">
        <v>99</v>
      </c>
      <c r="M25">
        <v>0.1</v>
      </c>
      <c r="N25">
        <f t="shared" si="0"/>
        <v>89.100000000000009</v>
      </c>
      <c r="O25">
        <f t="shared" si="1"/>
        <v>42</v>
      </c>
      <c r="P25">
        <f t="shared" si="2"/>
        <v>47.100000000000009</v>
      </c>
      <c r="Q25">
        <f t="shared" si="3"/>
        <v>0.52861952861952866</v>
      </c>
      <c r="R25" t="s">
        <v>26</v>
      </c>
      <c r="S25" t="s">
        <v>44</v>
      </c>
    </row>
    <row r="26" spans="1:19">
      <c r="A26" t="s">
        <v>80</v>
      </c>
      <c r="B26">
        <v>46050</v>
      </c>
      <c r="C26" t="s">
        <v>33</v>
      </c>
      <c r="D26" t="s">
        <v>34</v>
      </c>
      <c r="E26" t="s">
        <v>46</v>
      </c>
      <c r="F26" t="s">
        <v>62</v>
      </c>
      <c r="G26" t="s">
        <v>63</v>
      </c>
      <c r="H26" t="s">
        <v>49</v>
      </c>
      <c r="I26" t="s">
        <v>275</v>
      </c>
      <c r="J26">
        <v>1</v>
      </c>
      <c r="K26">
        <v>42</v>
      </c>
      <c r="L26">
        <v>99</v>
      </c>
      <c r="M26">
        <v>0</v>
      </c>
      <c r="N26">
        <f t="shared" si="0"/>
        <v>99</v>
      </c>
      <c r="O26">
        <f t="shared" si="1"/>
        <v>42</v>
      </c>
      <c r="P26">
        <f t="shared" si="2"/>
        <v>57</v>
      </c>
      <c r="Q26">
        <f t="shared" si="3"/>
        <v>0.5757575757575758</v>
      </c>
      <c r="R26" t="s">
        <v>31</v>
      </c>
      <c r="S26" t="s">
        <v>27</v>
      </c>
    </row>
    <row r="27" spans="1:19">
      <c r="A27" t="s">
        <v>81</v>
      </c>
      <c r="B27">
        <v>46141</v>
      </c>
      <c r="C27" t="s">
        <v>33</v>
      </c>
      <c r="D27" t="s">
        <v>34</v>
      </c>
      <c r="E27" t="s">
        <v>22</v>
      </c>
      <c r="F27" t="s">
        <v>57</v>
      </c>
      <c r="G27" t="s">
        <v>58</v>
      </c>
      <c r="H27" t="s">
        <v>43</v>
      </c>
      <c r="I27" t="s">
        <v>275</v>
      </c>
      <c r="J27">
        <v>1</v>
      </c>
      <c r="K27">
        <v>20</v>
      </c>
      <c r="L27">
        <v>45</v>
      </c>
      <c r="M27">
        <v>0.1</v>
      </c>
      <c r="N27">
        <f t="shared" si="0"/>
        <v>40.5</v>
      </c>
      <c r="O27">
        <f t="shared" si="1"/>
        <v>20</v>
      </c>
      <c r="P27">
        <f t="shared" si="2"/>
        <v>20.5</v>
      </c>
      <c r="Q27">
        <f t="shared" si="3"/>
        <v>0.50617283950617287</v>
      </c>
      <c r="R27" t="s">
        <v>26</v>
      </c>
      <c r="S27" t="s">
        <v>44</v>
      </c>
    </row>
    <row r="28" spans="1:19">
      <c r="A28" t="s">
        <v>82</v>
      </c>
      <c r="B28">
        <v>46046</v>
      </c>
      <c r="C28" t="s">
        <v>20</v>
      </c>
      <c r="D28" t="s">
        <v>21</v>
      </c>
      <c r="E28" t="s">
        <v>46</v>
      </c>
      <c r="F28" t="s">
        <v>51</v>
      </c>
      <c r="G28" t="s">
        <v>52</v>
      </c>
      <c r="H28" t="s">
        <v>49</v>
      </c>
      <c r="I28" t="s">
        <v>276</v>
      </c>
      <c r="J28">
        <v>2</v>
      </c>
      <c r="K28">
        <v>62</v>
      </c>
      <c r="L28">
        <v>149</v>
      </c>
      <c r="M28">
        <v>0.05</v>
      </c>
      <c r="N28">
        <f t="shared" si="0"/>
        <v>283.09999999999997</v>
      </c>
      <c r="O28">
        <f t="shared" si="1"/>
        <v>124</v>
      </c>
      <c r="P28">
        <f t="shared" si="2"/>
        <v>159.09999999999997</v>
      </c>
      <c r="Q28">
        <f t="shared" si="3"/>
        <v>0.56199222889438361</v>
      </c>
      <c r="R28" t="s">
        <v>38</v>
      </c>
      <c r="S28" t="s">
        <v>27</v>
      </c>
    </row>
    <row r="29" spans="1:19">
      <c r="A29" t="s">
        <v>83</v>
      </c>
      <c r="B29">
        <v>46125</v>
      </c>
      <c r="C29" t="s">
        <v>20</v>
      </c>
      <c r="D29" t="s">
        <v>21</v>
      </c>
      <c r="E29" t="s">
        <v>46</v>
      </c>
      <c r="F29" t="s">
        <v>84</v>
      </c>
      <c r="G29" t="s">
        <v>85</v>
      </c>
      <c r="H29" t="s">
        <v>49</v>
      </c>
      <c r="I29" t="s">
        <v>274</v>
      </c>
      <c r="J29">
        <v>2</v>
      </c>
      <c r="K29">
        <v>48</v>
      </c>
      <c r="L29">
        <v>119</v>
      </c>
      <c r="M29">
        <v>0</v>
      </c>
      <c r="N29">
        <f t="shared" si="0"/>
        <v>238</v>
      </c>
      <c r="O29">
        <f t="shared" si="1"/>
        <v>96</v>
      </c>
      <c r="P29">
        <f t="shared" si="2"/>
        <v>142</v>
      </c>
      <c r="Q29">
        <f t="shared" si="3"/>
        <v>0.59663865546218486</v>
      </c>
      <c r="R29" t="s">
        <v>38</v>
      </c>
      <c r="S29" t="s">
        <v>39</v>
      </c>
    </row>
    <row r="30" spans="1:19">
      <c r="A30" t="s">
        <v>86</v>
      </c>
      <c r="B30">
        <v>46131</v>
      </c>
      <c r="C30" t="s">
        <v>33</v>
      </c>
      <c r="D30" t="s">
        <v>34</v>
      </c>
      <c r="E30" t="s">
        <v>46</v>
      </c>
      <c r="F30" t="s">
        <v>84</v>
      </c>
      <c r="G30" t="s">
        <v>85</v>
      </c>
      <c r="H30" t="s">
        <v>49</v>
      </c>
      <c r="I30" t="s">
        <v>275</v>
      </c>
      <c r="J30">
        <v>1</v>
      </c>
      <c r="K30">
        <v>48</v>
      </c>
      <c r="L30">
        <v>119</v>
      </c>
      <c r="M30">
        <v>0.05</v>
      </c>
      <c r="N30">
        <f t="shared" si="0"/>
        <v>113.05</v>
      </c>
      <c r="O30">
        <f t="shared" si="1"/>
        <v>48</v>
      </c>
      <c r="P30">
        <f t="shared" si="2"/>
        <v>65.05</v>
      </c>
      <c r="Q30">
        <f t="shared" si="3"/>
        <v>0.57540911101282621</v>
      </c>
      <c r="R30" t="s">
        <v>31</v>
      </c>
      <c r="S30" t="s">
        <v>55</v>
      </c>
    </row>
    <row r="31" spans="1:19">
      <c r="A31" t="s">
        <v>87</v>
      </c>
      <c r="B31">
        <v>46037</v>
      </c>
      <c r="C31" t="s">
        <v>20</v>
      </c>
      <c r="D31" t="s">
        <v>21</v>
      </c>
      <c r="E31" t="s">
        <v>22</v>
      </c>
      <c r="F31" t="s">
        <v>41</v>
      </c>
      <c r="G31" t="s">
        <v>42</v>
      </c>
      <c r="H31" t="s">
        <v>43</v>
      </c>
      <c r="I31" t="s">
        <v>274</v>
      </c>
      <c r="J31">
        <v>1</v>
      </c>
      <c r="K31">
        <v>19.75</v>
      </c>
      <c r="L31">
        <v>48</v>
      </c>
      <c r="M31">
        <v>0</v>
      </c>
      <c r="N31">
        <f t="shared" si="0"/>
        <v>48</v>
      </c>
      <c r="O31">
        <f t="shared" si="1"/>
        <v>19.75</v>
      </c>
      <c r="P31">
        <f t="shared" si="2"/>
        <v>28.25</v>
      </c>
      <c r="Q31">
        <f t="shared" si="3"/>
        <v>0.58854166666666663</v>
      </c>
      <c r="R31" t="s">
        <v>26</v>
      </c>
      <c r="S31" t="s">
        <v>44</v>
      </c>
    </row>
    <row r="32" spans="1:19">
      <c r="A32" t="s">
        <v>88</v>
      </c>
      <c r="B32">
        <v>46151</v>
      </c>
      <c r="C32" t="s">
        <v>33</v>
      </c>
      <c r="D32" t="s">
        <v>34</v>
      </c>
      <c r="E32" t="s">
        <v>46</v>
      </c>
      <c r="F32" t="s">
        <v>76</v>
      </c>
      <c r="G32" t="s">
        <v>77</v>
      </c>
      <c r="H32" t="s">
        <v>78</v>
      </c>
      <c r="I32" t="s">
        <v>274</v>
      </c>
      <c r="J32">
        <v>2</v>
      </c>
      <c r="K32">
        <v>9.5</v>
      </c>
      <c r="L32">
        <v>24</v>
      </c>
      <c r="M32">
        <v>0</v>
      </c>
      <c r="N32">
        <f t="shared" si="0"/>
        <v>48</v>
      </c>
      <c r="O32">
        <f t="shared" si="1"/>
        <v>19</v>
      </c>
      <c r="P32">
        <f t="shared" si="2"/>
        <v>29</v>
      </c>
      <c r="Q32">
        <f t="shared" si="3"/>
        <v>0.60416666666666663</v>
      </c>
      <c r="R32" t="s">
        <v>26</v>
      </c>
      <c r="S32" t="s">
        <v>55</v>
      </c>
    </row>
    <row r="33" spans="1:19">
      <c r="A33" t="s">
        <v>89</v>
      </c>
      <c r="B33">
        <v>46083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276</v>
      </c>
      <c r="J33">
        <v>1</v>
      </c>
      <c r="K33">
        <v>15.25</v>
      </c>
      <c r="L33">
        <v>34</v>
      </c>
      <c r="M33">
        <v>0.1</v>
      </c>
      <c r="N33">
        <f t="shared" si="0"/>
        <v>30.6</v>
      </c>
      <c r="O33">
        <f t="shared" si="1"/>
        <v>15.25</v>
      </c>
      <c r="P33">
        <f t="shared" si="2"/>
        <v>15.350000000000001</v>
      </c>
      <c r="Q33">
        <f t="shared" si="3"/>
        <v>0.50163398692810457</v>
      </c>
      <c r="R33" t="s">
        <v>26</v>
      </c>
      <c r="S33" t="s">
        <v>44</v>
      </c>
    </row>
    <row r="34" spans="1:19">
      <c r="A34" t="s">
        <v>90</v>
      </c>
      <c r="B34">
        <v>46089</v>
      </c>
      <c r="C34" t="s">
        <v>33</v>
      </c>
      <c r="D34" t="s">
        <v>34</v>
      </c>
      <c r="E34" t="s">
        <v>46</v>
      </c>
      <c r="F34" t="s">
        <v>62</v>
      </c>
      <c r="G34" t="s">
        <v>63</v>
      </c>
      <c r="H34" t="s">
        <v>49</v>
      </c>
      <c r="I34" t="s">
        <v>276</v>
      </c>
      <c r="J34">
        <v>1</v>
      </c>
      <c r="K34">
        <v>42</v>
      </c>
      <c r="L34">
        <v>99</v>
      </c>
      <c r="M34">
        <v>0.05</v>
      </c>
      <c r="N34">
        <f t="shared" ref="N34:N65" si="4">J34*L34*(1-M34)</f>
        <v>94.05</v>
      </c>
      <c r="O34">
        <f t="shared" ref="O34:O65" si="5">J34*K34</f>
        <v>42</v>
      </c>
      <c r="P34">
        <f t="shared" ref="P34:P65" si="6">N34-O34</f>
        <v>52.05</v>
      </c>
      <c r="Q34">
        <f t="shared" ref="Q34:Q65" si="7">IF(N34=0,0,P34/N34)</f>
        <v>0.5534290271132376</v>
      </c>
      <c r="R34" t="s">
        <v>59</v>
      </c>
      <c r="S34" t="s">
        <v>27</v>
      </c>
    </row>
    <row r="35" spans="1:19">
      <c r="A35" t="s">
        <v>91</v>
      </c>
      <c r="B35">
        <v>46140</v>
      </c>
      <c r="C35" t="s">
        <v>33</v>
      </c>
      <c r="D35" t="s">
        <v>34</v>
      </c>
      <c r="E35" t="s">
        <v>22</v>
      </c>
      <c r="F35" t="s">
        <v>57</v>
      </c>
      <c r="G35" t="s">
        <v>58</v>
      </c>
      <c r="H35" t="s">
        <v>43</v>
      </c>
      <c r="I35" t="s">
        <v>275</v>
      </c>
      <c r="J35">
        <v>1</v>
      </c>
      <c r="K35">
        <v>20</v>
      </c>
      <c r="L35">
        <v>45</v>
      </c>
      <c r="M35">
        <v>0.05</v>
      </c>
      <c r="N35">
        <f t="shared" si="4"/>
        <v>42.75</v>
      </c>
      <c r="O35">
        <f t="shared" si="5"/>
        <v>20</v>
      </c>
      <c r="P35">
        <f t="shared" si="6"/>
        <v>22.75</v>
      </c>
      <c r="Q35">
        <f t="shared" si="7"/>
        <v>0.53216374269005851</v>
      </c>
      <c r="R35" t="s">
        <v>26</v>
      </c>
      <c r="S35" t="s">
        <v>27</v>
      </c>
    </row>
    <row r="36" spans="1:19">
      <c r="A36" t="s">
        <v>92</v>
      </c>
      <c r="B36">
        <v>46041</v>
      </c>
      <c r="C36" t="s">
        <v>20</v>
      </c>
      <c r="D36" t="s">
        <v>21</v>
      </c>
      <c r="E36" t="s">
        <v>46</v>
      </c>
      <c r="F36" t="s">
        <v>76</v>
      </c>
      <c r="G36" t="s">
        <v>77</v>
      </c>
      <c r="H36" t="s">
        <v>78</v>
      </c>
      <c r="I36" t="s">
        <v>276</v>
      </c>
      <c r="J36">
        <v>1</v>
      </c>
      <c r="K36">
        <v>9.5</v>
      </c>
      <c r="L36">
        <v>24</v>
      </c>
      <c r="M36">
        <v>0</v>
      </c>
      <c r="N36">
        <f t="shared" si="4"/>
        <v>24</v>
      </c>
      <c r="O36">
        <f t="shared" si="5"/>
        <v>9.5</v>
      </c>
      <c r="P36">
        <f t="shared" si="6"/>
        <v>14.5</v>
      </c>
      <c r="Q36">
        <f t="shared" si="7"/>
        <v>0.60416666666666663</v>
      </c>
      <c r="R36" t="s">
        <v>59</v>
      </c>
      <c r="S36" t="s">
        <v>44</v>
      </c>
    </row>
    <row r="37" spans="1:19">
      <c r="A37" t="s">
        <v>93</v>
      </c>
      <c r="B37">
        <v>46095</v>
      </c>
      <c r="C37" t="s">
        <v>33</v>
      </c>
      <c r="D37" t="s">
        <v>34</v>
      </c>
      <c r="E37" t="s">
        <v>22</v>
      </c>
      <c r="F37" t="s">
        <v>35</v>
      </c>
      <c r="G37" t="s">
        <v>36</v>
      </c>
      <c r="H37" t="s">
        <v>37</v>
      </c>
      <c r="I37" t="s">
        <v>276</v>
      </c>
      <c r="J37">
        <v>1</v>
      </c>
      <c r="K37">
        <v>18</v>
      </c>
      <c r="L37">
        <v>42</v>
      </c>
      <c r="M37">
        <v>0.05</v>
      </c>
      <c r="N37">
        <f t="shared" si="4"/>
        <v>39.9</v>
      </c>
      <c r="O37">
        <f t="shared" si="5"/>
        <v>18</v>
      </c>
      <c r="P37">
        <f t="shared" si="6"/>
        <v>21.9</v>
      </c>
      <c r="Q37">
        <f t="shared" si="7"/>
        <v>0.54887218045112784</v>
      </c>
      <c r="R37" t="s">
        <v>26</v>
      </c>
      <c r="S37" t="s">
        <v>39</v>
      </c>
    </row>
    <row r="38" spans="1:19">
      <c r="A38" t="s">
        <v>94</v>
      </c>
      <c r="B38">
        <v>46090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276</v>
      </c>
      <c r="J38">
        <v>1</v>
      </c>
      <c r="K38">
        <v>15.25</v>
      </c>
      <c r="L38">
        <v>34</v>
      </c>
      <c r="M38">
        <v>0</v>
      </c>
      <c r="N38">
        <f t="shared" si="4"/>
        <v>34</v>
      </c>
      <c r="O38">
        <f t="shared" si="5"/>
        <v>15.25</v>
      </c>
      <c r="P38">
        <f t="shared" si="6"/>
        <v>18.75</v>
      </c>
      <c r="Q38">
        <f t="shared" si="7"/>
        <v>0.55147058823529416</v>
      </c>
      <c r="R38" t="s">
        <v>59</v>
      </c>
      <c r="S38" t="s">
        <v>39</v>
      </c>
    </row>
    <row r="39" spans="1:19">
      <c r="A39" t="s">
        <v>95</v>
      </c>
      <c r="B39">
        <v>46110</v>
      </c>
      <c r="C39" t="s">
        <v>20</v>
      </c>
      <c r="D39" t="s">
        <v>21</v>
      </c>
      <c r="E39" t="s">
        <v>46</v>
      </c>
      <c r="F39" t="s">
        <v>76</v>
      </c>
      <c r="G39" t="s">
        <v>77</v>
      </c>
      <c r="H39" t="s">
        <v>78</v>
      </c>
      <c r="I39" t="s">
        <v>276</v>
      </c>
      <c r="J39">
        <v>1</v>
      </c>
      <c r="K39">
        <v>9.5</v>
      </c>
      <c r="L39">
        <v>24</v>
      </c>
      <c r="M39">
        <v>0</v>
      </c>
      <c r="N39">
        <f t="shared" si="4"/>
        <v>24</v>
      </c>
      <c r="O39">
        <f t="shared" si="5"/>
        <v>9.5</v>
      </c>
      <c r="P39">
        <f t="shared" si="6"/>
        <v>14.5</v>
      </c>
      <c r="Q39">
        <f t="shared" si="7"/>
        <v>0.60416666666666663</v>
      </c>
      <c r="R39" t="s">
        <v>38</v>
      </c>
      <c r="S39" t="s">
        <v>39</v>
      </c>
    </row>
    <row r="40" spans="1:19">
      <c r="A40" t="s">
        <v>96</v>
      </c>
      <c r="B40">
        <v>46131</v>
      </c>
      <c r="C40" t="s">
        <v>20</v>
      </c>
      <c r="D40" t="s">
        <v>21</v>
      </c>
      <c r="E40" t="s">
        <v>22</v>
      </c>
      <c r="F40" t="s">
        <v>29</v>
      </c>
      <c r="G40" t="s">
        <v>30</v>
      </c>
      <c r="H40" t="s">
        <v>25</v>
      </c>
      <c r="I40" t="s">
        <v>274</v>
      </c>
      <c r="J40">
        <v>2</v>
      </c>
      <c r="K40">
        <v>14.5</v>
      </c>
      <c r="L40">
        <v>32</v>
      </c>
      <c r="M40">
        <v>0</v>
      </c>
      <c r="N40">
        <f t="shared" si="4"/>
        <v>64</v>
      </c>
      <c r="O40">
        <f t="shared" si="5"/>
        <v>29</v>
      </c>
      <c r="P40">
        <f t="shared" si="6"/>
        <v>35</v>
      </c>
      <c r="Q40">
        <f t="shared" si="7"/>
        <v>0.546875</v>
      </c>
      <c r="R40" t="s">
        <v>31</v>
      </c>
      <c r="S40" t="s">
        <v>39</v>
      </c>
    </row>
    <row r="41" spans="1:19">
      <c r="A41" t="s">
        <v>97</v>
      </c>
      <c r="B41">
        <v>46132</v>
      </c>
      <c r="C41" t="s">
        <v>33</v>
      </c>
      <c r="D41" t="s">
        <v>34</v>
      </c>
      <c r="E41" t="s">
        <v>22</v>
      </c>
      <c r="F41" t="s">
        <v>57</v>
      </c>
      <c r="G41" t="s">
        <v>58</v>
      </c>
      <c r="H41" t="s">
        <v>43</v>
      </c>
      <c r="I41" t="s">
        <v>276</v>
      </c>
      <c r="J41">
        <v>1</v>
      </c>
      <c r="K41">
        <v>20</v>
      </c>
      <c r="L41">
        <v>45</v>
      </c>
      <c r="M41">
        <v>0</v>
      </c>
      <c r="N41">
        <f t="shared" si="4"/>
        <v>45</v>
      </c>
      <c r="O41">
        <f t="shared" si="5"/>
        <v>20</v>
      </c>
      <c r="P41">
        <f t="shared" si="6"/>
        <v>25</v>
      </c>
      <c r="Q41">
        <f t="shared" si="7"/>
        <v>0.55555555555555558</v>
      </c>
      <c r="R41" t="s">
        <v>26</v>
      </c>
      <c r="S41" t="s">
        <v>39</v>
      </c>
    </row>
    <row r="42" spans="1:19">
      <c r="A42" t="s">
        <v>98</v>
      </c>
      <c r="B42">
        <v>46133</v>
      </c>
      <c r="C42" t="s">
        <v>20</v>
      </c>
      <c r="D42" t="s">
        <v>21</v>
      </c>
      <c r="E42" t="s">
        <v>46</v>
      </c>
      <c r="F42" t="s">
        <v>76</v>
      </c>
      <c r="G42" t="s">
        <v>77</v>
      </c>
      <c r="H42" t="s">
        <v>78</v>
      </c>
      <c r="I42" t="s">
        <v>274</v>
      </c>
      <c r="J42">
        <v>1</v>
      </c>
      <c r="K42">
        <v>9.5</v>
      </c>
      <c r="L42">
        <v>24</v>
      </c>
      <c r="M42">
        <v>0</v>
      </c>
      <c r="N42">
        <f t="shared" si="4"/>
        <v>24</v>
      </c>
      <c r="O42">
        <f t="shared" si="5"/>
        <v>9.5</v>
      </c>
      <c r="P42">
        <f t="shared" si="6"/>
        <v>14.5</v>
      </c>
      <c r="Q42">
        <f t="shared" si="7"/>
        <v>0.60416666666666663</v>
      </c>
      <c r="R42" t="s">
        <v>59</v>
      </c>
      <c r="S42" t="s">
        <v>55</v>
      </c>
    </row>
    <row r="43" spans="1:19">
      <c r="A43" t="s">
        <v>99</v>
      </c>
      <c r="B43">
        <v>46113</v>
      </c>
      <c r="C43" t="s">
        <v>20</v>
      </c>
      <c r="D43" t="s">
        <v>21</v>
      </c>
      <c r="E43" t="s">
        <v>22</v>
      </c>
      <c r="F43" t="s">
        <v>35</v>
      </c>
      <c r="G43" t="s">
        <v>36</v>
      </c>
      <c r="H43" t="s">
        <v>37</v>
      </c>
      <c r="I43" t="s">
        <v>274</v>
      </c>
      <c r="J43">
        <v>2</v>
      </c>
      <c r="K43">
        <v>18</v>
      </c>
      <c r="L43">
        <v>42</v>
      </c>
      <c r="M43">
        <v>0.1</v>
      </c>
      <c r="N43">
        <f t="shared" si="4"/>
        <v>75.600000000000009</v>
      </c>
      <c r="O43">
        <f t="shared" si="5"/>
        <v>36</v>
      </c>
      <c r="P43">
        <f t="shared" si="6"/>
        <v>39.600000000000009</v>
      </c>
      <c r="Q43">
        <f t="shared" si="7"/>
        <v>0.52380952380952384</v>
      </c>
      <c r="R43" t="s">
        <v>31</v>
      </c>
      <c r="S43" t="s">
        <v>55</v>
      </c>
    </row>
    <row r="44" spans="1:19">
      <c r="A44" t="s">
        <v>100</v>
      </c>
      <c r="B44">
        <v>46128</v>
      </c>
      <c r="C44" t="s">
        <v>20</v>
      </c>
      <c r="D44" t="s">
        <v>21</v>
      </c>
      <c r="E44" t="s">
        <v>22</v>
      </c>
      <c r="F44" t="s">
        <v>57</v>
      </c>
      <c r="G44" t="s">
        <v>58</v>
      </c>
      <c r="H44" t="s">
        <v>43</v>
      </c>
      <c r="I44" t="s">
        <v>274</v>
      </c>
      <c r="J44">
        <v>1</v>
      </c>
      <c r="K44">
        <v>20</v>
      </c>
      <c r="L44">
        <v>45</v>
      </c>
      <c r="M44">
        <v>0.05</v>
      </c>
      <c r="N44">
        <f t="shared" si="4"/>
        <v>42.75</v>
      </c>
      <c r="O44">
        <f t="shared" si="5"/>
        <v>20</v>
      </c>
      <c r="P44">
        <f t="shared" si="6"/>
        <v>22.75</v>
      </c>
      <c r="Q44">
        <f t="shared" si="7"/>
        <v>0.53216374269005851</v>
      </c>
      <c r="R44" t="s">
        <v>38</v>
      </c>
      <c r="S44" t="s">
        <v>55</v>
      </c>
    </row>
    <row r="45" spans="1:19">
      <c r="A45" t="s">
        <v>101</v>
      </c>
      <c r="B45">
        <v>46050</v>
      </c>
      <c r="C45" t="s">
        <v>20</v>
      </c>
      <c r="D45" t="s">
        <v>21</v>
      </c>
      <c r="E45" t="s">
        <v>22</v>
      </c>
      <c r="F45" t="s">
        <v>41</v>
      </c>
      <c r="G45" t="s">
        <v>42</v>
      </c>
      <c r="H45" t="s">
        <v>43</v>
      </c>
      <c r="I45" t="s">
        <v>275</v>
      </c>
      <c r="J45">
        <v>1</v>
      </c>
      <c r="K45">
        <v>19.75</v>
      </c>
      <c r="L45">
        <v>48</v>
      </c>
      <c r="M45">
        <v>0</v>
      </c>
      <c r="N45">
        <f t="shared" si="4"/>
        <v>48</v>
      </c>
      <c r="O45">
        <f t="shared" si="5"/>
        <v>19.75</v>
      </c>
      <c r="P45">
        <f t="shared" si="6"/>
        <v>28.25</v>
      </c>
      <c r="Q45">
        <f t="shared" si="7"/>
        <v>0.58854166666666663</v>
      </c>
      <c r="R45" t="s">
        <v>31</v>
      </c>
      <c r="S45" t="s">
        <v>55</v>
      </c>
    </row>
    <row r="46" spans="1:19">
      <c r="A46" t="s">
        <v>102</v>
      </c>
      <c r="B46">
        <v>46101</v>
      </c>
      <c r="C46" t="s">
        <v>33</v>
      </c>
      <c r="D46" t="s">
        <v>34</v>
      </c>
      <c r="E46" t="s">
        <v>46</v>
      </c>
      <c r="F46" t="s">
        <v>84</v>
      </c>
      <c r="G46" t="s">
        <v>85</v>
      </c>
      <c r="H46" t="s">
        <v>49</v>
      </c>
      <c r="I46" t="s">
        <v>276</v>
      </c>
      <c r="J46">
        <v>2</v>
      </c>
      <c r="K46">
        <v>48</v>
      </c>
      <c r="L46">
        <v>119</v>
      </c>
      <c r="M46">
        <v>0.1</v>
      </c>
      <c r="N46">
        <f t="shared" si="4"/>
        <v>214.20000000000002</v>
      </c>
      <c r="O46">
        <f t="shared" si="5"/>
        <v>96</v>
      </c>
      <c r="P46">
        <f t="shared" si="6"/>
        <v>118.20000000000002</v>
      </c>
      <c r="Q46">
        <f t="shared" si="7"/>
        <v>0.55182072829131656</v>
      </c>
      <c r="R46" t="s">
        <v>26</v>
      </c>
      <c r="S46" t="s">
        <v>55</v>
      </c>
    </row>
    <row r="47" spans="1:19">
      <c r="A47" t="s">
        <v>103</v>
      </c>
      <c r="B47">
        <v>46094</v>
      </c>
      <c r="C47" t="s">
        <v>33</v>
      </c>
      <c r="D47" t="s">
        <v>34</v>
      </c>
      <c r="E47" t="s">
        <v>46</v>
      </c>
      <c r="F47" t="s">
        <v>62</v>
      </c>
      <c r="G47" t="s">
        <v>63</v>
      </c>
      <c r="H47" t="s">
        <v>49</v>
      </c>
      <c r="I47" t="s">
        <v>276</v>
      </c>
      <c r="J47">
        <v>2</v>
      </c>
      <c r="K47">
        <v>42</v>
      </c>
      <c r="L47">
        <v>99</v>
      </c>
      <c r="M47">
        <v>0.1</v>
      </c>
      <c r="N47">
        <f t="shared" si="4"/>
        <v>178.20000000000002</v>
      </c>
      <c r="O47">
        <f t="shared" si="5"/>
        <v>84</v>
      </c>
      <c r="P47">
        <f t="shared" si="6"/>
        <v>94.200000000000017</v>
      </c>
      <c r="Q47">
        <f t="shared" si="7"/>
        <v>0.52861952861952866</v>
      </c>
      <c r="R47" t="s">
        <v>59</v>
      </c>
      <c r="S47" t="s">
        <v>27</v>
      </c>
    </row>
    <row r="48" spans="1:19">
      <c r="A48" t="s">
        <v>104</v>
      </c>
      <c r="B48">
        <v>46030</v>
      </c>
      <c r="C48" t="s">
        <v>33</v>
      </c>
      <c r="D48" t="s">
        <v>34</v>
      </c>
      <c r="E48" t="s">
        <v>46</v>
      </c>
      <c r="F48" t="s">
        <v>51</v>
      </c>
      <c r="G48" t="s">
        <v>52</v>
      </c>
      <c r="H48" t="s">
        <v>49</v>
      </c>
      <c r="I48" t="s">
        <v>276</v>
      </c>
      <c r="J48">
        <v>1</v>
      </c>
      <c r="K48">
        <v>62</v>
      </c>
      <c r="L48">
        <v>149</v>
      </c>
      <c r="M48">
        <v>0.15</v>
      </c>
      <c r="N48">
        <f t="shared" si="4"/>
        <v>126.64999999999999</v>
      </c>
      <c r="O48">
        <f t="shared" si="5"/>
        <v>62</v>
      </c>
      <c r="P48">
        <f t="shared" si="6"/>
        <v>64.649999999999991</v>
      </c>
      <c r="Q48">
        <f t="shared" si="7"/>
        <v>0.51046190288195814</v>
      </c>
      <c r="R48" t="s">
        <v>59</v>
      </c>
      <c r="S48" t="s">
        <v>44</v>
      </c>
    </row>
    <row r="49" spans="1:19">
      <c r="A49" t="s">
        <v>105</v>
      </c>
      <c r="B49">
        <v>46111</v>
      </c>
      <c r="C49" t="s">
        <v>33</v>
      </c>
      <c r="D49" t="s">
        <v>34</v>
      </c>
      <c r="E49" t="s">
        <v>22</v>
      </c>
      <c r="F49" t="s">
        <v>23</v>
      </c>
      <c r="G49" t="s">
        <v>24</v>
      </c>
      <c r="H49" t="s">
        <v>25</v>
      </c>
      <c r="I49" t="s">
        <v>275</v>
      </c>
      <c r="J49">
        <v>1</v>
      </c>
      <c r="K49">
        <v>15.25</v>
      </c>
      <c r="L49">
        <v>34</v>
      </c>
      <c r="M49">
        <v>0</v>
      </c>
      <c r="N49">
        <f t="shared" si="4"/>
        <v>34</v>
      </c>
      <c r="O49">
        <f t="shared" si="5"/>
        <v>15.25</v>
      </c>
      <c r="P49">
        <f t="shared" si="6"/>
        <v>18.75</v>
      </c>
      <c r="Q49">
        <f t="shared" si="7"/>
        <v>0.55147058823529416</v>
      </c>
      <c r="R49" t="s">
        <v>38</v>
      </c>
      <c r="S49" t="s">
        <v>55</v>
      </c>
    </row>
    <row r="50" spans="1:19">
      <c r="A50" t="s">
        <v>106</v>
      </c>
      <c r="B50">
        <v>46134</v>
      </c>
      <c r="C50" t="s">
        <v>20</v>
      </c>
      <c r="D50" t="s">
        <v>21</v>
      </c>
      <c r="E50" t="s">
        <v>22</v>
      </c>
      <c r="F50" t="s">
        <v>41</v>
      </c>
      <c r="G50" t="s">
        <v>42</v>
      </c>
      <c r="H50" t="s">
        <v>43</v>
      </c>
      <c r="I50" t="s">
        <v>276</v>
      </c>
      <c r="J50">
        <v>1</v>
      </c>
      <c r="K50">
        <v>19.75</v>
      </c>
      <c r="L50">
        <v>48</v>
      </c>
      <c r="M50">
        <v>0.1</v>
      </c>
      <c r="N50">
        <f t="shared" si="4"/>
        <v>43.2</v>
      </c>
      <c r="O50">
        <f t="shared" si="5"/>
        <v>19.75</v>
      </c>
      <c r="P50">
        <f t="shared" si="6"/>
        <v>23.450000000000003</v>
      </c>
      <c r="Q50">
        <f t="shared" si="7"/>
        <v>0.54282407407407407</v>
      </c>
      <c r="R50" t="s">
        <v>59</v>
      </c>
      <c r="S50" t="s">
        <v>27</v>
      </c>
    </row>
    <row r="51" spans="1:19">
      <c r="A51" t="s">
        <v>107</v>
      </c>
      <c r="B51">
        <v>46103</v>
      </c>
      <c r="C51" t="s">
        <v>33</v>
      </c>
      <c r="D51" t="s">
        <v>34</v>
      </c>
      <c r="E51" t="s">
        <v>22</v>
      </c>
      <c r="F51" t="s">
        <v>23</v>
      </c>
      <c r="G51" t="s">
        <v>24</v>
      </c>
      <c r="H51" t="s">
        <v>25</v>
      </c>
      <c r="I51" t="s">
        <v>276</v>
      </c>
      <c r="J51">
        <v>1</v>
      </c>
      <c r="K51">
        <v>15.25</v>
      </c>
      <c r="L51">
        <v>34</v>
      </c>
      <c r="M51">
        <v>0</v>
      </c>
      <c r="N51">
        <f t="shared" si="4"/>
        <v>34</v>
      </c>
      <c r="O51">
        <f t="shared" si="5"/>
        <v>15.25</v>
      </c>
      <c r="P51">
        <f t="shared" si="6"/>
        <v>18.75</v>
      </c>
      <c r="Q51">
        <f t="shared" si="7"/>
        <v>0.55147058823529416</v>
      </c>
      <c r="R51" t="s">
        <v>59</v>
      </c>
      <c r="S51" t="s">
        <v>27</v>
      </c>
    </row>
    <row r="52" spans="1:19">
      <c r="A52" t="s">
        <v>108</v>
      </c>
      <c r="B52">
        <v>46098</v>
      </c>
      <c r="C52" t="s">
        <v>33</v>
      </c>
      <c r="D52" t="s">
        <v>34</v>
      </c>
      <c r="E52" t="s">
        <v>46</v>
      </c>
      <c r="F52" t="s">
        <v>47</v>
      </c>
      <c r="G52" t="s">
        <v>48</v>
      </c>
      <c r="H52" t="s">
        <v>49</v>
      </c>
      <c r="I52" t="s">
        <v>274</v>
      </c>
      <c r="J52">
        <v>1</v>
      </c>
      <c r="K52">
        <v>38</v>
      </c>
      <c r="L52">
        <v>89</v>
      </c>
      <c r="M52">
        <v>0</v>
      </c>
      <c r="N52">
        <f t="shared" si="4"/>
        <v>89</v>
      </c>
      <c r="O52">
        <f t="shared" si="5"/>
        <v>38</v>
      </c>
      <c r="P52">
        <f t="shared" si="6"/>
        <v>51</v>
      </c>
      <c r="Q52">
        <f t="shared" si="7"/>
        <v>0.5730337078651685</v>
      </c>
      <c r="R52" t="s">
        <v>31</v>
      </c>
      <c r="S52" t="s">
        <v>39</v>
      </c>
    </row>
    <row r="53" spans="1:19">
      <c r="A53" t="s">
        <v>109</v>
      </c>
      <c r="B53">
        <v>46100</v>
      </c>
      <c r="C53" t="s">
        <v>20</v>
      </c>
      <c r="D53" t="s">
        <v>21</v>
      </c>
      <c r="E53" t="s">
        <v>46</v>
      </c>
      <c r="F53" t="s">
        <v>62</v>
      </c>
      <c r="G53" t="s">
        <v>63</v>
      </c>
      <c r="H53" t="s">
        <v>49</v>
      </c>
      <c r="I53" t="s">
        <v>274</v>
      </c>
      <c r="J53">
        <v>1</v>
      </c>
      <c r="K53">
        <v>42</v>
      </c>
      <c r="L53">
        <v>99</v>
      </c>
      <c r="M53">
        <v>0</v>
      </c>
      <c r="N53">
        <f t="shared" si="4"/>
        <v>99</v>
      </c>
      <c r="O53">
        <f t="shared" si="5"/>
        <v>42</v>
      </c>
      <c r="P53">
        <f t="shared" si="6"/>
        <v>57</v>
      </c>
      <c r="Q53">
        <f t="shared" si="7"/>
        <v>0.5757575757575758</v>
      </c>
      <c r="R53" t="s">
        <v>38</v>
      </c>
      <c r="S53" t="s">
        <v>27</v>
      </c>
    </row>
    <row r="54" spans="1:19">
      <c r="A54" t="s">
        <v>110</v>
      </c>
      <c r="B54">
        <v>46153</v>
      </c>
      <c r="C54" t="s">
        <v>20</v>
      </c>
      <c r="D54" t="s">
        <v>21</v>
      </c>
      <c r="E54" t="s">
        <v>46</v>
      </c>
      <c r="F54" t="s">
        <v>84</v>
      </c>
      <c r="G54" t="s">
        <v>85</v>
      </c>
      <c r="H54" t="s">
        <v>49</v>
      </c>
      <c r="I54" t="s">
        <v>276</v>
      </c>
      <c r="J54">
        <v>1</v>
      </c>
      <c r="K54">
        <v>48</v>
      </c>
      <c r="L54">
        <v>119</v>
      </c>
      <c r="M54">
        <v>0.1</v>
      </c>
      <c r="N54">
        <f t="shared" si="4"/>
        <v>107.10000000000001</v>
      </c>
      <c r="O54">
        <f t="shared" si="5"/>
        <v>48</v>
      </c>
      <c r="P54">
        <f t="shared" si="6"/>
        <v>59.100000000000009</v>
      </c>
      <c r="Q54">
        <f t="shared" si="7"/>
        <v>0.55182072829131656</v>
      </c>
      <c r="R54" t="s">
        <v>26</v>
      </c>
      <c r="S54" t="s">
        <v>39</v>
      </c>
    </row>
    <row r="55" spans="1:19">
      <c r="A55" t="s">
        <v>111</v>
      </c>
      <c r="B55">
        <v>46046</v>
      </c>
      <c r="C55" t="s">
        <v>33</v>
      </c>
      <c r="D55" t="s">
        <v>34</v>
      </c>
      <c r="E55" t="s">
        <v>46</v>
      </c>
      <c r="F55" t="s">
        <v>51</v>
      </c>
      <c r="G55" t="s">
        <v>52</v>
      </c>
      <c r="H55" t="s">
        <v>49</v>
      </c>
      <c r="I55" t="s">
        <v>276</v>
      </c>
      <c r="J55">
        <v>2</v>
      </c>
      <c r="K55">
        <v>62</v>
      </c>
      <c r="L55">
        <v>149</v>
      </c>
      <c r="M55">
        <v>0.05</v>
      </c>
      <c r="N55">
        <f t="shared" si="4"/>
        <v>283.09999999999997</v>
      </c>
      <c r="O55">
        <f t="shared" si="5"/>
        <v>124</v>
      </c>
      <c r="P55">
        <f t="shared" si="6"/>
        <v>159.09999999999997</v>
      </c>
      <c r="Q55">
        <f t="shared" si="7"/>
        <v>0.56199222889438361</v>
      </c>
      <c r="R55" t="s">
        <v>31</v>
      </c>
      <c r="S55" t="s">
        <v>55</v>
      </c>
    </row>
    <row r="56" spans="1:19">
      <c r="A56" t="s">
        <v>112</v>
      </c>
      <c r="B56">
        <v>46034</v>
      </c>
      <c r="C56" t="s">
        <v>20</v>
      </c>
      <c r="D56" t="s">
        <v>21</v>
      </c>
      <c r="E56" t="s">
        <v>22</v>
      </c>
      <c r="F56" t="s">
        <v>57</v>
      </c>
      <c r="G56" t="s">
        <v>58</v>
      </c>
      <c r="H56" t="s">
        <v>43</v>
      </c>
      <c r="I56" t="s">
        <v>275</v>
      </c>
      <c r="J56">
        <v>1</v>
      </c>
      <c r="K56">
        <v>20</v>
      </c>
      <c r="L56">
        <v>45</v>
      </c>
      <c r="M56">
        <v>0</v>
      </c>
      <c r="N56">
        <f t="shared" si="4"/>
        <v>45</v>
      </c>
      <c r="O56">
        <f t="shared" si="5"/>
        <v>20</v>
      </c>
      <c r="P56">
        <f t="shared" si="6"/>
        <v>25</v>
      </c>
      <c r="Q56">
        <f t="shared" si="7"/>
        <v>0.55555555555555558</v>
      </c>
      <c r="R56" t="s">
        <v>38</v>
      </c>
      <c r="S56" t="s">
        <v>27</v>
      </c>
    </row>
    <row r="57" spans="1:19">
      <c r="A57" t="s">
        <v>113</v>
      </c>
      <c r="B57">
        <v>46121</v>
      </c>
      <c r="C57" t="s">
        <v>20</v>
      </c>
      <c r="D57" t="s">
        <v>21</v>
      </c>
      <c r="E57" t="s">
        <v>46</v>
      </c>
      <c r="F57" t="s">
        <v>76</v>
      </c>
      <c r="G57" t="s">
        <v>77</v>
      </c>
      <c r="H57" t="s">
        <v>78</v>
      </c>
      <c r="I57" t="s">
        <v>274</v>
      </c>
      <c r="J57">
        <v>1</v>
      </c>
      <c r="K57">
        <v>9.5</v>
      </c>
      <c r="L57">
        <v>24</v>
      </c>
      <c r="M57">
        <v>0</v>
      </c>
      <c r="N57">
        <f t="shared" si="4"/>
        <v>24</v>
      </c>
      <c r="O57">
        <f t="shared" si="5"/>
        <v>9.5</v>
      </c>
      <c r="P57">
        <f t="shared" si="6"/>
        <v>14.5</v>
      </c>
      <c r="Q57">
        <f t="shared" si="7"/>
        <v>0.60416666666666663</v>
      </c>
      <c r="R57" t="s">
        <v>26</v>
      </c>
      <c r="S57" t="s">
        <v>27</v>
      </c>
    </row>
    <row r="58" spans="1:19">
      <c r="A58" t="s">
        <v>114</v>
      </c>
      <c r="B58">
        <v>46155</v>
      </c>
      <c r="C58" t="s">
        <v>20</v>
      </c>
      <c r="D58" t="s">
        <v>21</v>
      </c>
      <c r="E58" t="s">
        <v>22</v>
      </c>
      <c r="F58" t="s">
        <v>35</v>
      </c>
      <c r="G58" t="s">
        <v>36</v>
      </c>
      <c r="H58" t="s">
        <v>37</v>
      </c>
      <c r="I58" t="s">
        <v>275</v>
      </c>
      <c r="J58">
        <v>1</v>
      </c>
      <c r="K58">
        <v>18</v>
      </c>
      <c r="L58">
        <v>42</v>
      </c>
      <c r="M58">
        <v>0</v>
      </c>
      <c r="N58">
        <f t="shared" si="4"/>
        <v>42</v>
      </c>
      <c r="O58">
        <f t="shared" si="5"/>
        <v>18</v>
      </c>
      <c r="P58">
        <f t="shared" si="6"/>
        <v>24</v>
      </c>
      <c r="Q58">
        <f t="shared" si="7"/>
        <v>0.5714285714285714</v>
      </c>
      <c r="R58" t="s">
        <v>38</v>
      </c>
      <c r="S58" t="s">
        <v>55</v>
      </c>
    </row>
    <row r="59" spans="1:19">
      <c r="A59" t="s">
        <v>115</v>
      </c>
      <c r="B59">
        <v>46136</v>
      </c>
      <c r="C59" t="s">
        <v>33</v>
      </c>
      <c r="D59" t="s">
        <v>34</v>
      </c>
      <c r="E59" t="s">
        <v>46</v>
      </c>
      <c r="F59" t="s">
        <v>84</v>
      </c>
      <c r="G59" t="s">
        <v>85</v>
      </c>
      <c r="H59" t="s">
        <v>49</v>
      </c>
      <c r="I59" t="s">
        <v>274</v>
      </c>
      <c r="J59">
        <v>1</v>
      </c>
      <c r="K59">
        <v>48</v>
      </c>
      <c r="L59">
        <v>119</v>
      </c>
      <c r="M59">
        <v>0.05</v>
      </c>
      <c r="N59">
        <f t="shared" si="4"/>
        <v>113.05</v>
      </c>
      <c r="O59">
        <f t="shared" si="5"/>
        <v>48</v>
      </c>
      <c r="P59">
        <f t="shared" si="6"/>
        <v>65.05</v>
      </c>
      <c r="Q59">
        <f t="shared" si="7"/>
        <v>0.57540911101282621</v>
      </c>
      <c r="R59" t="s">
        <v>38</v>
      </c>
      <c r="S59" t="s">
        <v>55</v>
      </c>
    </row>
    <row r="60" spans="1:19">
      <c r="A60" t="s">
        <v>116</v>
      </c>
      <c r="B60">
        <v>46089</v>
      </c>
      <c r="C60" t="s">
        <v>33</v>
      </c>
      <c r="D60" t="s">
        <v>34</v>
      </c>
      <c r="E60" t="s">
        <v>46</v>
      </c>
      <c r="F60" t="s">
        <v>84</v>
      </c>
      <c r="G60" t="s">
        <v>85</v>
      </c>
      <c r="H60" t="s">
        <v>49</v>
      </c>
      <c r="I60" t="s">
        <v>276</v>
      </c>
      <c r="J60">
        <v>2</v>
      </c>
      <c r="K60">
        <v>48</v>
      </c>
      <c r="L60">
        <v>119</v>
      </c>
      <c r="M60">
        <v>0.05</v>
      </c>
      <c r="N60">
        <f t="shared" si="4"/>
        <v>226.1</v>
      </c>
      <c r="O60">
        <f t="shared" si="5"/>
        <v>96</v>
      </c>
      <c r="P60">
        <f t="shared" si="6"/>
        <v>130.1</v>
      </c>
      <c r="Q60">
        <f t="shared" si="7"/>
        <v>0.57540911101282621</v>
      </c>
      <c r="R60" t="s">
        <v>38</v>
      </c>
      <c r="S60" t="s">
        <v>55</v>
      </c>
    </row>
    <row r="61" spans="1:19">
      <c r="A61" t="s">
        <v>117</v>
      </c>
      <c r="B61">
        <v>46042</v>
      </c>
      <c r="C61" t="s">
        <v>33</v>
      </c>
      <c r="D61" t="s">
        <v>34</v>
      </c>
      <c r="E61" t="s">
        <v>22</v>
      </c>
      <c r="F61" t="s">
        <v>41</v>
      </c>
      <c r="G61" t="s">
        <v>42</v>
      </c>
      <c r="H61" t="s">
        <v>43</v>
      </c>
      <c r="I61" t="s">
        <v>274</v>
      </c>
      <c r="J61">
        <v>1</v>
      </c>
      <c r="K61">
        <v>19.75</v>
      </c>
      <c r="L61">
        <v>48</v>
      </c>
      <c r="M61">
        <v>0</v>
      </c>
      <c r="N61">
        <f t="shared" si="4"/>
        <v>48</v>
      </c>
      <c r="O61">
        <f t="shared" si="5"/>
        <v>19.75</v>
      </c>
      <c r="P61">
        <f t="shared" si="6"/>
        <v>28.25</v>
      </c>
      <c r="Q61">
        <f t="shared" si="7"/>
        <v>0.58854166666666663</v>
      </c>
      <c r="R61" t="s">
        <v>59</v>
      </c>
      <c r="S61" t="s">
        <v>44</v>
      </c>
    </row>
    <row r="62" spans="1:19">
      <c r="A62" t="s">
        <v>118</v>
      </c>
      <c r="B62">
        <v>46082</v>
      </c>
      <c r="C62" t="s">
        <v>20</v>
      </c>
      <c r="D62" t="s">
        <v>21</v>
      </c>
      <c r="E62" t="s">
        <v>22</v>
      </c>
      <c r="F62" t="s">
        <v>57</v>
      </c>
      <c r="G62" t="s">
        <v>58</v>
      </c>
      <c r="H62" t="s">
        <v>43</v>
      </c>
      <c r="I62" t="s">
        <v>276</v>
      </c>
      <c r="J62">
        <v>1</v>
      </c>
      <c r="K62">
        <v>20</v>
      </c>
      <c r="L62">
        <v>45</v>
      </c>
      <c r="M62">
        <v>0</v>
      </c>
      <c r="N62">
        <f t="shared" si="4"/>
        <v>45</v>
      </c>
      <c r="O62">
        <f t="shared" si="5"/>
        <v>20</v>
      </c>
      <c r="P62">
        <f t="shared" si="6"/>
        <v>25</v>
      </c>
      <c r="Q62">
        <f t="shared" si="7"/>
        <v>0.55555555555555558</v>
      </c>
      <c r="R62" t="s">
        <v>26</v>
      </c>
      <c r="S62" t="s">
        <v>27</v>
      </c>
    </row>
    <row r="63" spans="1:19">
      <c r="A63" t="s">
        <v>119</v>
      </c>
      <c r="B63">
        <v>46161</v>
      </c>
      <c r="C63" t="s">
        <v>33</v>
      </c>
      <c r="D63" t="s">
        <v>34</v>
      </c>
      <c r="E63" t="s">
        <v>46</v>
      </c>
      <c r="F63" t="s">
        <v>62</v>
      </c>
      <c r="G63" t="s">
        <v>63</v>
      </c>
      <c r="H63" t="s">
        <v>49</v>
      </c>
      <c r="I63" t="s">
        <v>274</v>
      </c>
      <c r="J63">
        <v>1</v>
      </c>
      <c r="K63">
        <v>42</v>
      </c>
      <c r="L63">
        <v>99</v>
      </c>
      <c r="M63">
        <v>0</v>
      </c>
      <c r="N63">
        <f t="shared" si="4"/>
        <v>99</v>
      </c>
      <c r="O63">
        <f t="shared" si="5"/>
        <v>42</v>
      </c>
      <c r="P63">
        <f t="shared" si="6"/>
        <v>57</v>
      </c>
      <c r="Q63">
        <f t="shared" si="7"/>
        <v>0.5757575757575758</v>
      </c>
      <c r="R63" t="s">
        <v>38</v>
      </c>
      <c r="S63" t="s">
        <v>44</v>
      </c>
    </row>
    <row r="64" spans="1:19">
      <c r="A64" t="s">
        <v>120</v>
      </c>
      <c r="B64">
        <v>46145</v>
      </c>
      <c r="C64" t="s">
        <v>33</v>
      </c>
      <c r="D64" t="s">
        <v>34</v>
      </c>
      <c r="E64" t="s">
        <v>46</v>
      </c>
      <c r="F64" t="s">
        <v>76</v>
      </c>
      <c r="G64" t="s">
        <v>77</v>
      </c>
      <c r="H64" t="s">
        <v>78</v>
      </c>
      <c r="I64" t="s">
        <v>274</v>
      </c>
      <c r="J64">
        <v>1</v>
      </c>
      <c r="K64">
        <v>9.5</v>
      </c>
      <c r="L64">
        <v>24</v>
      </c>
      <c r="M64">
        <v>0</v>
      </c>
      <c r="N64">
        <f t="shared" si="4"/>
        <v>24</v>
      </c>
      <c r="O64">
        <f t="shared" si="5"/>
        <v>9.5</v>
      </c>
      <c r="P64">
        <f t="shared" si="6"/>
        <v>14.5</v>
      </c>
      <c r="Q64">
        <f t="shared" si="7"/>
        <v>0.60416666666666663</v>
      </c>
      <c r="R64" t="s">
        <v>38</v>
      </c>
      <c r="S64" t="s">
        <v>55</v>
      </c>
    </row>
    <row r="65" spans="1:19">
      <c r="A65" t="s">
        <v>121</v>
      </c>
      <c r="B65">
        <v>46092</v>
      </c>
      <c r="C65" t="s">
        <v>20</v>
      </c>
      <c r="D65" t="s">
        <v>21</v>
      </c>
      <c r="E65" t="s">
        <v>46</v>
      </c>
      <c r="F65" t="s">
        <v>84</v>
      </c>
      <c r="G65" t="s">
        <v>85</v>
      </c>
      <c r="H65" t="s">
        <v>49</v>
      </c>
      <c r="I65" t="s">
        <v>274</v>
      </c>
      <c r="J65">
        <v>1</v>
      </c>
      <c r="K65">
        <v>48</v>
      </c>
      <c r="L65">
        <v>119</v>
      </c>
      <c r="M65">
        <v>0</v>
      </c>
      <c r="N65">
        <f t="shared" si="4"/>
        <v>119</v>
      </c>
      <c r="O65">
        <f t="shared" si="5"/>
        <v>48</v>
      </c>
      <c r="P65">
        <f t="shared" si="6"/>
        <v>71</v>
      </c>
      <c r="Q65">
        <f t="shared" si="7"/>
        <v>0.59663865546218486</v>
      </c>
      <c r="R65" t="s">
        <v>38</v>
      </c>
      <c r="S65" t="s">
        <v>55</v>
      </c>
    </row>
    <row r="66" spans="1:19">
      <c r="A66" t="s">
        <v>122</v>
      </c>
      <c r="B66">
        <v>46159</v>
      </c>
      <c r="C66" t="s">
        <v>20</v>
      </c>
      <c r="D66" t="s">
        <v>21</v>
      </c>
      <c r="E66" t="s">
        <v>46</v>
      </c>
      <c r="F66" t="s">
        <v>84</v>
      </c>
      <c r="G66" t="s">
        <v>85</v>
      </c>
      <c r="H66" t="s">
        <v>49</v>
      </c>
      <c r="I66" t="s">
        <v>274</v>
      </c>
      <c r="J66">
        <v>1</v>
      </c>
      <c r="K66">
        <v>48</v>
      </c>
      <c r="L66">
        <v>119</v>
      </c>
      <c r="M66">
        <v>0</v>
      </c>
      <c r="N66">
        <f t="shared" ref="N66:N97" si="8">J66*L66*(1-M66)</f>
        <v>119</v>
      </c>
      <c r="O66">
        <f t="shared" ref="O66:O97" si="9">J66*K66</f>
        <v>48</v>
      </c>
      <c r="P66">
        <f t="shared" ref="P66:P97" si="10">N66-O66</f>
        <v>71</v>
      </c>
      <c r="Q66">
        <f t="shared" ref="Q66:Q97" si="11">IF(N66=0,0,P66/N66)</f>
        <v>0.59663865546218486</v>
      </c>
      <c r="R66" t="s">
        <v>26</v>
      </c>
      <c r="S66" t="s">
        <v>27</v>
      </c>
    </row>
    <row r="67" spans="1:19">
      <c r="A67" t="s">
        <v>123</v>
      </c>
      <c r="B67">
        <v>46069</v>
      </c>
      <c r="C67" t="s">
        <v>33</v>
      </c>
      <c r="D67" t="s">
        <v>34</v>
      </c>
      <c r="E67" t="s">
        <v>22</v>
      </c>
      <c r="F67" t="s">
        <v>57</v>
      </c>
      <c r="G67" t="s">
        <v>58</v>
      </c>
      <c r="H67" t="s">
        <v>43</v>
      </c>
      <c r="I67" t="s">
        <v>276</v>
      </c>
      <c r="J67">
        <v>1</v>
      </c>
      <c r="K67">
        <v>20</v>
      </c>
      <c r="L67">
        <v>45</v>
      </c>
      <c r="M67">
        <v>0</v>
      </c>
      <c r="N67">
        <f t="shared" si="8"/>
        <v>45</v>
      </c>
      <c r="O67">
        <f t="shared" si="9"/>
        <v>20</v>
      </c>
      <c r="P67">
        <f t="shared" si="10"/>
        <v>25</v>
      </c>
      <c r="Q67">
        <f t="shared" si="11"/>
        <v>0.55555555555555558</v>
      </c>
      <c r="R67" t="s">
        <v>38</v>
      </c>
      <c r="S67" t="s">
        <v>39</v>
      </c>
    </row>
    <row r="68" spans="1:19">
      <c r="A68" t="s">
        <v>124</v>
      </c>
      <c r="B68">
        <v>46094</v>
      </c>
      <c r="C68" t="s">
        <v>33</v>
      </c>
      <c r="D68" t="s">
        <v>34</v>
      </c>
      <c r="E68" t="s">
        <v>46</v>
      </c>
      <c r="F68" t="s">
        <v>47</v>
      </c>
      <c r="G68" t="s">
        <v>48</v>
      </c>
      <c r="H68" t="s">
        <v>49</v>
      </c>
      <c r="I68" t="s">
        <v>276</v>
      </c>
      <c r="J68">
        <v>2</v>
      </c>
      <c r="K68">
        <v>38</v>
      </c>
      <c r="L68">
        <v>89</v>
      </c>
      <c r="M68">
        <v>0.05</v>
      </c>
      <c r="N68">
        <f t="shared" si="8"/>
        <v>169.1</v>
      </c>
      <c r="O68">
        <f t="shared" si="9"/>
        <v>76</v>
      </c>
      <c r="P68">
        <f t="shared" si="10"/>
        <v>93.1</v>
      </c>
      <c r="Q68">
        <f t="shared" si="11"/>
        <v>0.550561797752809</v>
      </c>
      <c r="R68" t="s">
        <v>26</v>
      </c>
      <c r="S68" t="s">
        <v>27</v>
      </c>
    </row>
    <row r="69" spans="1:19">
      <c r="A69" t="s">
        <v>125</v>
      </c>
      <c r="B69">
        <v>46112</v>
      </c>
      <c r="C69" t="s">
        <v>20</v>
      </c>
      <c r="D69" t="s">
        <v>21</v>
      </c>
      <c r="E69" t="s">
        <v>22</v>
      </c>
      <c r="F69" t="s">
        <v>29</v>
      </c>
      <c r="G69" t="s">
        <v>30</v>
      </c>
      <c r="H69" t="s">
        <v>25</v>
      </c>
      <c r="I69" t="s">
        <v>274</v>
      </c>
      <c r="J69">
        <v>1</v>
      </c>
      <c r="K69">
        <v>14.5</v>
      </c>
      <c r="L69">
        <v>32</v>
      </c>
      <c r="M69">
        <v>0</v>
      </c>
      <c r="N69">
        <f t="shared" si="8"/>
        <v>32</v>
      </c>
      <c r="O69">
        <f t="shared" si="9"/>
        <v>14.5</v>
      </c>
      <c r="P69">
        <f t="shared" si="10"/>
        <v>17.5</v>
      </c>
      <c r="Q69">
        <f t="shared" si="11"/>
        <v>0.546875</v>
      </c>
      <c r="R69" t="s">
        <v>26</v>
      </c>
      <c r="S69" t="s">
        <v>55</v>
      </c>
    </row>
    <row r="70" spans="1:19">
      <c r="A70" t="s">
        <v>126</v>
      </c>
      <c r="B70">
        <v>46062</v>
      </c>
      <c r="C70" t="s">
        <v>20</v>
      </c>
      <c r="D70" t="s">
        <v>21</v>
      </c>
      <c r="E70" t="s">
        <v>22</v>
      </c>
      <c r="F70" t="s">
        <v>35</v>
      </c>
      <c r="G70" t="s">
        <v>36</v>
      </c>
      <c r="H70" t="s">
        <v>37</v>
      </c>
      <c r="I70" t="s">
        <v>275</v>
      </c>
      <c r="J70">
        <v>1</v>
      </c>
      <c r="K70">
        <v>18</v>
      </c>
      <c r="L70">
        <v>42</v>
      </c>
      <c r="M70">
        <v>0</v>
      </c>
      <c r="N70">
        <f t="shared" si="8"/>
        <v>42</v>
      </c>
      <c r="O70">
        <f t="shared" si="9"/>
        <v>18</v>
      </c>
      <c r="P70">
        <f t="shared" si="10"/>
        <v>24</v>
      </c>
      <c r="Q70">
        <f t="shared" si="11"/>
        <v>0.5714285714285714</v>
      </c>
      <c r="R70" t="s">
        <v>31</v>
      </c>
      <c r="S70" t="s">
        <v>27</v>
      </c>
    </row>
    <row r="71" spans="1:19">
      <c r="A71" t="s">
        <v>127</v>
      </c>
      <c r="B71">
        <v>46065</v>
      </c>
      <c r="C71" t="s">
        <v>33</v>
      </c>
      <c r="D71" t="s">
        <v>34</v>
      </c>
      <c r="E71" t="s">
        <v>22</v>
      </c>
      <c r="F71" t="s">
        <v>41</v>
      </c>
      <c r="G71" t="s">
        <v>42</v>
      </c>
      <c r="H71" t="s">
        <v>43</v>
      </c>
      <c r="I71" t="s">
        <v>275</v>
      </c>
      <c r="J71">
        <v>1</v>
      </c>
      <c r="K71">
        <v>19.75</v>
      </c>
      <c r="L71">
        <v>48</v>
      </c>
      <c r="M71">
        <v>0.1</v>
      </c>
      <c r="N71">
        <f t="shared" si="8"/>
        <v>43.2</v>
      </c>
      <c r="O71">
        <f t="shared" si="9"/>
        <v>19.75</v>
      </c>
      <c r="P71">
        <f t="shared" si="10"/>
        <v>23.450000000000003</v>
      </c>
      <c r="Q71">
        <f t="shared" si="11"/>
        <v>0.54282407407407407</v>
      </c>
      <c r="R71" t="s">
        <v>31</v>
      </c>
      <c r="S71" t="s">
        <v>39</v>
      </c>
    </row>
    <row r="72" spans="1:19">
      <c r="A72" t="s">
        <v>128</v>
      </c>
      <c r="B72">
        <v>46102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274</v>
      </c>
      <c r="J72">
        <v>1</v>
      </c>
      <c r="K72">
        <v>15.25</v>
      </c>
      <c r="L72">
        <v>34</v>
      </c>
      <c r="M72">
        <v>0.1</v>
      </c>
      <c r="N72">
        <f t="shared" si="8"/>
        <v>30.6</v>
      </c>
      <c r="O72">
        <f t="shared" si="9"/>
        <v>15.25</v>
      </c>
      <c r="P72">
        <f t="shared" si="10"/>
        <v>15.350000000000001</v>
      </c>
      <c r="Q72">
        <f t="shared" si="11"/>
        <v>0.50163398692810457</v>
      </c>
      <c r="R72" t="s">
        <v>38</v>
      </c>
      <c r="S72" t="s">
        <v>55</v>
      </c>
    </row>
    <row r="73" spans="1:19">
      <c r="A73" t="s">
        <v>129</v>
      </c>
      <c r="B73">
        <v>46049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275</v>
      </c>
      <c r="J73">
        <v>1</v>
      </c>
      <c r="K73">
        <v>15.25</v>
      </c>
      <c r="L73">
        <v>34</v>
      </c>
      <c r="M73">
        <v>0</v>
      </c>
      <c r="N73">
        <f t="shared" si="8"/>
        <v>34</v>
      </c>
      <c r="O73">
        <f t="shared" si="9"/>
        <v>15.25</v>
      </c>
      <c r="P73">
        <f t="shared" si="10"/>
        <v>18.75</v>
      </c>
      <c r="Q73">
        <f t="shared" si="11"/>
        <v>0.55147058823529416</v>
      </c>
      <c r="R73" t="s">
        <v>26</v>
      </c>
      <c r="S73" t="s">
        <v>39</v>
      </c>
    </row>
    <row r="74" spans="1:19">
      <c r="A74" t="s">
        <v>130</v>
      </c>
      <c r="B74">
        <v>46117</v>
      </c>
      <c r="C74" t="s">
        <v>33</v>
      </c>
      <c r="D74" t="s">
        <v>34</v>
      </c>
      <c r="E74" t="s">
        <v>46</v>
      </c>
      <c r="F74" t="s">
        <v>51</v>
      </c>
      <c r="G74" t="s">
        <v>52</v>
      </c>
      <c r="H74" t="s">
        <v>49</v>
      </c>
      <c r="I74" t="s">
        <v>274</v>
      </c>
      <c r="J74">
        <v>1</v>
      </c>
      <c r="K74">
        <v>62</v>
      </c>
      <c r="L74">
        <v>149</v>
      </c>
      <c r="M74">
        <v>0</v>
      </c>
      <c r="N74">
        <f t="shared" si="8"/>
        <v>149</v>
      </c>
      <c r="O74">
        <f t="shared" si="9"/>
        <v>62</v>
      </c>
      <c r="P74">
        <f t="shared" si="10"/>
        <v>87</v>
      </c>
      <c r="Q74">
        <f t="shared" si="11"/>
        <v>0.58389261744966447</v>
      </c>
      <c r="R74" t="s">
        <v>38</v>
      </c>
      <c r="S74" t="s">
        <v>27</v>
      </c>
    </row>
    <row r="75" spans="1:19">
      <c r="A75" t="s">
        <v>131</v>
      </c>
      <c r="B75">
        <v>46115</v>
      </c>
      <c r="C75" t="s">
        <v>33</v>
      </c>
      <c r="D75" t="s">
        <v>34</v>
      </c>
      <c r="E75" t="s">
        <v>22</v>
      </c>
      <c r="F75" t="s">
        <v>23</v>
      </c>
      <c r="G75" t="s">
        <v>24</v>
      </c>
      <c r="H75" t="s">
        <v>25</v>
      </c>
      <c r="I75" t="s">
        <v>276</v>
      </c>
      <c r="J75">
        <v>1</v>
      </c>
      <c r="K75">
        <v>15.25</v>
      </c>
      <c r="L75">
        <v>34</v>
      </c>
      <c r="M75">
        <v>0.05</v>
      </c>
      <c r="N75">
        <f t="shared" si="8"/>
        <v>32.299999999999997</v>
      </c>
      <c r="O75">
        <f t="shared" si="9"/>
        <v>15.25</v>
      </c>
      <c r="P75">
        <f t="shared" si="10"/>
        <v>17.049999999999997</v>
      </c>
      <c r="Q75">
        <f t="shared" si="11"/>
        <v>0.52786377708978327</v>
      </c>
      <c r="R75" t="s">
        <v>38</v>
      </c>
      <c r="S75" t="s">
        <v>55</v>
      </c>
    </row>
    <row r="76" spans="1:19">
      <c r="A76" t="s">
        <v>132</v>
      </c>
      <c r="B76">
        <v>46160</v>
      </c>
      <c r="C76" t="s">
        <v>33</v>
      </c>
      <c r="D76" t="s">
        <v>34</v>
      </c>
      <c r="E76" t="s">
        <v>46</v>
      </c>
      <c r="F76" t="s">
        <v>51</v>
      </c>
      <c r="G76" t="s">
        <v>52</v>
      </c>
      <c r="H76" t="s">
        <v>49</v>
      </c>
      <c r="I76" t="s">
        <v>276</v>
      </c>
      <c r="J76">
        <v>2</v>
      </c>
      <c r="K76">
        <v>62</v>
      </c>
      <c r="L76">
        <v>149</v>
      </c>
      <c r="M76">
        <v>0</v>
      </c>
      <c r="N76">
        <f t="shared" si="8"/>
        <v>298</v>
      </c>
      <c r="O76">
        <f t="shared" si="9"/>
        <v>124</v>
      </c>
      <c r="P76">
        <f t="shared" si="10"/>
        <v>174</v>
      </c>
      <c r="Q76">
        <f t="shared" si="11"/>
        <v>0.58389261744966447</v>
      </c>
      <c r="R76" t="s">
        <v>59</v>
      </c>
      <c r="S76" t="s">
        <v>55</v>
      </c>
    </row>
    <row r="77" spans="1:19">
      <c r="A77" t="s">
        <v>133</v>
      </c>
      <c r="B77">
        <v>46138</v>
      </c>
      <c r="C77" t="s">
        <v>33</v>
      </c>
      <c r="D77" t="s">
        <v>34</v>
      </c>
      <c r="E77" t="s">
        <v>22</v>
      </c>
      <c r="F77" t="s">
        <v>23</v>
      </c>
      <c r="G77" t="s">
        <v>24</v>
      </c>
      <c r="H77" t="s">
        <v>25</v>
      </c>
      <c r="I77" t="s">
        <v>274</v>
      </c>
      <c r="J77">
        <v>1</v>
      </c>
      <c r="K77">
        <v>15.25</v>
      </c>
      <c r="L77">
        <v>34</v>
      </c>
      <c r="M77">
        <v>0</v>
      </c>
      <c r="N77">
        <f t="shared" si="8"/>
        <v>34</v>
      </c>
      <c r="O77">
        <f t="shared" si="9"/>
        <v>15.25</v>
      </c>
      <c r="P77">
        <f t="shared" si="10"/>
        <v>18.75</v>
      </c>
      <c r="Q77">
        <f t="shared" si="11"/>
        <v>0.55147058823529416</v>
      </c>
      <c r="R77" t="s">
        <v>59</v>
      </c>
      <c r="S77" t="s">
        <v>44</v>
      </c>
    </row>
    <row r="78" spans="1:19">
      <c r="A78" t="s">
        <v>134</v>
      </c>
      <c r="B78">
        <v>46069</v>
      </c>
      <c r="C78" t="s">
        <v>33</v>
      </c>
      <c r="D78" t="s">
        <v>34</v>
      </c>
      <c r="E78" t="s">
        <v>46</v>
      </c>
      <c r="F78" t="s">
        <v>84</v>
      </c>
      <c r="G78" t="s">
        <v>85</v>
      </c>
      <c r="H78" t="s">
        <v>49</v>
      </c>
      <c r="I78" t="s">
        <v>276</v>
      </c>
      <c r="J78">
        <v>1</v>
      </c>
      <c r="K78">
        <v>48</v>
      </c>
      <c r="L78">
        <v>119</v>
      </c>
      <c r="M78">
        <v>0</v>
      </c>
      <c r="N78">
        <f t="shared" si="8"/>
        <v>119</v>
      </c>
      <c r="O78">
        <f t="shared" si="9"/>
        <v>48</v>
      </c>
      <c r="P78">
        <f t="shared" si="10"/>
        <v>71</v>
      </c>
      <c r="Q78">
        <f t="shared" si="11"/>
        <v>0.59663865546218486</v>
      </c>
      <c r="R78" t="s">
        <v>59</v>
      </c>
      <c r="S78" t="s">
        <v>39</v>
      </c>
    </row>
    <row r="79" spans="1:19">
      <c r="A79" t="s">
        <v>135</v>
      </c>
      <c r="B79">
        <v>46025</v>
      </c>
      <c r="C79" t="s">
        <v>33</v>
      </c>
      <c r="D79" t="s">
        <v>34</v>
      </c>
      <c r="E79" t="s">
        <v>46</v>
      </c>
      <c r="F79" t="s">
        <v>76</v>
      </c>
      <c r="G79" t="s">
        <v>77</v>
      </c>
      <c r="H79" t="s">
        <v>78</v>
      </c>
      <c r="I79" t="s">
        <v>276</v>
      </c>
      <c r="J79">
        <v>1</v>
      </c>
      <c r="K79">
        <v>9.5</v>
      </c>
      <c r="L79">
        <v>24</v>
      </c>
      <c r="M79">
        <v>0</v>
      </c>
      <c r="N79">
        <f t="shared" si="8"/>
        <v>24</v>
      </c>
      <c r="O79">
        <f t="shared" si="9"/>
        <v>9.5</v>
      </c>
      <c r="P79">
        <f t="shared" si="10"/>
        <v>14.5</v>
      </c>
      <c r="Q79">
        <f t="shared" si="11"/>
        <v>0.60416666666666663</v>
      </c>
      <c r="R79" t="s">
        <v>38</v>
      </c>
      <c r="S79" t="s">
        <v>27</v>
      </c>
    </row>
    <row r="80" spans="1:19">
      <c r="A80" t="s">
        <v>136</v>
      </c>
      <c r="B80">
        <v>46144</v>
      </c>
      <c r="C80" t="s">
        <v>20</v>
      </c>
      <c r="D80" t="s">
        <v>21</v>
      </c>
      <c r="E80" t="s">
        <v>46</v>
      </c>
      <c r="F80" t="s">
        <v>51</v>
      </c>
      <c r="G80" t="s">
        <v>52</v>
      </c>
      <c r="H80" t="s">
        <v>49</v>
      </c>
      <c r="I80" t="s">
        <v>274</v>
      </c>
      <c r="J80">
        <v>1</v>
      </c>
      <c r="K80">
        <v>62</v>
      </c>
      <c r="L80">
        <v>149</v>
      </c>
      <c r="M80">
        <v>0</v>
      </c>
      <c r="N80">
        <f t="shared" si="8"/>
        <v>149</v>
      </c>
      <c r="O80">
        <f t="shared" si="9"/>
        <v>62</v>
      </c>
      <c r="P80">
        <f t="shared" si="10"/>
        <v>87</v>
      </c>
      <c r="Q80">
        <f t="shared" si="11"/>
        <v>0.58389261744966447</v>
      </c>
      <c r="R80" t="s">
        <v>26</v>
      </c>
      <c r="S80" t="s">
        <v>39</v>
      </c>
    </row>
    <row r="81" spans="1:19">
      <c r="A81" t="s">
        <v>137</v>
      </c>
      <c r="B81">
        <v>46085</v>
      </c>
      <c r="C81" t="s">
        <v>33</v>
      </c>
      <c r="D81" t="s">
        <v>34</v>
      </c>
      <c r="E81" t="s">
        <v>22</v>
      </c>
      <c r="F81" t="s">
        <v>35</v>
      </c>
      <c r="G81" t="s">
        <v>36</v>
      </c>
      <c r="H81" t="s">
        <v>37</v>
      </c>
      <c r="I81" t="s">
        <v>275</v>
      </c>
      <c r="J81">
        <v>1</v>
      </c>
      <c r="K81">
        <v>18</v>
      </c>
      <c r="L81">
        <v>42</v>
      </c>
      <c r="M81">
        <v>0</v>
      </c>
      <c r="N81">
        <f t="shared" si="8"/>
        <v>42</v>
      </c>
      <c r="O81">
        <f t="shared" si="9"/>
        <v>18</v>
      </c>
      <c r="P81">
        <f t="shared" si="10"/>
        <v>24</v>
      </c>
      <c r="Q81">
        <f t="shared" si="11"/>
        <v>0.5714285714285714</v>
      </c>
      <c r="R81" t="s">
        <v>59</v>
      </c>
      <c r="S81" t="s">
        <v>27</v>
      </c>
    </row>
    <row r="82" spans="1:19">
      <c r="A82" t="s">
        <v>138</v>
      </c>
      <c r="B82">
        <v>46113</v>
      </c>
      <c r="C82" t="s">
        <v>33</v>
      </c>
      <c r="D82" t="s">
        <v>34</v>
      </c>
      <c r="E82" t="s">
        <v>46</v>
      </c>
      <c r="F82" t="s">
        <v>51</v>
      </c>
      <c r="G82" t="s">
        <v>52</v>
      </c>
      <c r="H82" t="s">
        <v>49</v>
      </c>
      <c r="I82" t="s">
        <v>276</v>
      </c>
      <c r="J82">
        <v>1</v>
      </c>
      <c r="K82">
        <v>62</v>
      </c>
      <c r="L82">
        <v>149</v>
      </c>
      <c r="M82">
        <v>0</v>
      </c>
      <c r="N82">
        <f t="shared" si="8"/>
        <v>149</v>
      </c>
      <c r="O82">
        <f t="shared" si="9"/>
        <v>62</v>
      </c>
      <c r="P82">
        <f t="shared" si="10"/>
        <v>87</v>
      </c>
      <c r="Q82">
        <f t="shared" si="11"/>
        <v>0.58389261744966447</v>
      </c>
      <c r="R82" t="s">
        <v>31</v>
      </c>
      <c r="S82" t="s">
        <v>44</v>
      </c>
    </row>
    <row r="83" spans="1:19">
      <c r="A83" t="s">
        <v>139</v>
      </c>
      <c r="B83">
        <v>46053</v>
      </c>
      <c r="C83" t="s">
        <v>33</v>
      </c>
      <c r="D83" t="s">
        <v>34</v>
      </c>
      <c r="E83" t="s">
        <v>22</v>
      </c>
      <c r="F83" t="s">
        <v>35</v>
      </c>
      <c r="G83" t="s">
        <v>36</v>
      </c>
      <c r="H83" t="s">
        <v>37</v>
      </c>
      <c r="I83" t="s">
        <v>276</v>
      </c>
      <c r="J83">
        <v>1</v>
      </c>
      <c r="K83">
        <v>18</v>
      </c>
      <c r="L83">
        <v>42</v>
      </c>
      <c r="M83">
        <v>0.1</v>
      </c>
      <c r="N83">
        <f t="shared" si="8"/>
        <v>37.800000000000004</v>
      </c>
      <c r="O83">
        <f t="shared" si="9"/>
        <v>18</v>
      </c>
      <c r="P83">
        <f t="shared" si="10"/>
        <v>19.800000000000004</v>
      </c>
      <c r="Q83">
        <f t="shared" si="11"/>
        <v>0.52380952380952384</v>
      </c>
      <c r="R83" t="s">
        <v>31</v>
      </c>
      <c r="S83" t="s">
        <v>55</v>
      </c>
    </row>
    <row r="84" spans="1:19">
      <c r="A84" t="s">
        <v>140</v>
      </c>
      <c r="B84">
        <v>46157</v>
      </c>
      <c r="C84" t="s">
        <v>33</v>
      </c>
      <c r="D84" t="s">
        <v>34</v>
      </c>
      <c r="E84" t="s">
        <v>46</v>
      </c>
      <c r="F84" t="s">
        <v>84</v>
      </c>
      <c r="G84" t="s">
        <v>85</v>
      </c>
      <c r="H84" t="s">
        <v>49</v>
      </c>
      <c r="I84" t="s">
        <v>276</v>
      </c>
      <c r="J84">
        <v>1</v>
      </c>
      <c r="K84">
        <v>48</v>
      </c>
      <c r="L84">
        <v>119</v>
      </c>
      <c r="M84">
        <v>0.15</v>
      </c>
      <c r="N84">
        <f t="shared" si="8"/>
        <v>101.14999999999999</v>
      </c>
      <c r="O84">
        <f t="shared" si="9"/>
        <v>48</v>
      </c>
      <c r="P84">
        <f t="shared" si="10"/>
        <v>53.149999999999991</v>
      </c>
      <c r="Q84">
        <f t="shared" si="11"/>
        <v>0.52545724172021746</v>
      </c>
      <c r="R84" t="s">
        <v>59</v>
      </c>
      <c r="S84" t="s">
        <v>55</v>
      </c>
    </row>
    <row r="85" spans="1:19">
      <c r="A85" t="s">
        <v>141</v>
      </c>
      <c r="B85">
        <v>46100</v>
      </c>
      <c r="C85" t="s">
        <v>20</v>
      </c>
      <c r="D85" t="s">
        <v>21</v>
      </c>
      <c r="E85" t="s">
        <v>46</v>
      </c>
      <c r="F85" t="s">
        <v>47</v>
      </c>
      <c r="G85" t="s">
        <v>48</v>
      </c>
      <c r="H85" t="s">
        <v>49</v>
      </c>
      <c r="I85" t="s">
        <v>276</v>
      </c>
      <c r="J85">
        <v>1</v>
      </c>
      <c r="K85">
        <v>38</v>
      </c>
      <c r="L85">
        <v>89</v>
      </c>
      <c r="M85">
        <v>0</v>
      </c>
      <c r="N85">
        <f t="shared" si="8"/>
        <v>89</v>
      </c>
      <c r="O85">
        <f t="shared" si="9"/>
        <v>38</v>
      </c>
      <c r="P85">
        <f t="shared" si="10"/>
        <v>51</v>
      </c>
      <c r="Q85">
        <f t="shared" si="11"/>
        <v>0.5730337078651685</v>
      </c>
      <c r="R85" t="s">
        <v>26</v>
      </c>
      <c r="S85" t="s">
        <v>44</v>
      </c>
    </row>
    <row r="86" spans="1:19">
      <c r="A86" t="s">
        <v>142</v>
      </c>
      <c r="B86">
        <v>46055</v>
      </c>
      <c r="C86" t="s">
        <v>33</v>
      </c>
      <c r="D86" t="s">
        <v>34</v>
      </c>
      <c r="E86" t="s">
        <v>46</v>
      </c>
      <c r="F86" t="s">
        <v>51</v>
      </c>
      <c r="G86" t="s">
        <v>52</v>
      </c>
      <c r="H86" t="s">
        <v>49</v>
      </c>
      <c r="I86" t="s">
        <v>275</v>
      </c>
      <c r="J86">
        <v>1</v>
      </c>
      <c r="K86">
        <v>62</v>
      </c>
      <c r="L86">
        <v>149</v>
      </c>
      <c r="M86">
        <v>0.05</v>
      </c>
      <c r="N86">
        <f t="shared" si="8"/>
        <v>141.54999999999998</v>
      </c>
      <c r="O86">
        <f t="shared" si="9"/>
        <v>62</v>
      </c>
      <c r="P86">
        <f t="shared" si="10"/>
        <v>79.549999999999983</v>
      </c>
      <c r="Q86">
        <f t="shared" si="11"/>
        <v>0.56199222889438361</v>
      </c>
      <c r="R86" t="s">
        <v>26</v>
      </c>
      <c r="S86" t="s">
        <v>39</v>
      </c>
    </row>
    <row r="87" spans="1:19">
      <c r="A87" t="s">
        <v>143</v>
      </c>
      <c r="B87">
        <v>46135</v>
      </c>
      <c r="C87" t="s">
        <v>33</v>
      </c>
      <c r="D87" t="s">
        <v>34</v>
      </c>
      <c r="E87" t="s">
        <v>46</v>
      </c>
      <c r="F87" t="s">
        <v>84</v>
      </c>
      <c r="G87" t="s">
        <v>85</v>
      </c>
      <c r="H87" t="s">
        <v>49</v>
      </c>
      <c r="I87" t="s">
        <v>276</v>
      </c>
      <c r="J87">
        <v>1</v>
      </c>
      <c r="K87">
        <v>48</v>
      </c>
      <c r="L87">
        <v>119</v>
      </c>
      <c r="M87">
        <v>0.1</v>
      </c>
      <c r="N87">
        <f t="shared" si="8"/>
        <v>107.10000000000001</v>
      </c>
      <c r="O87">
        <f t="shared" si="9"/>
        <v>48</v>
      </c>
      <c r="P87">
        <f t="shared" si="10"/>
        <v>59.100000000000009</v>
      </c>
      <c r="Q87">
        <f t="shared" si="11"/>
        <v>0.55182072829131656</v>
      </c>
      <c r="R87" t="s">
        <v>38</v>
      </c>
      <c r="S87" t="s">
        <v>44</v>
      </c>
    </row>
    <row r="88" spans="1:19">
      <c r="A88" t="s">
        <v>144</v>
      </c>
      <c r="B88">
        <v>46148</v>
      </c>
      <c r="C88" t="s">
        <v>33</v>
      </c>
      <c r="D88" t="s">
        <v>34</v>
      </c>
      <c r="E88" t="s">
        <v>22</v>
      </c>
      <c r="F88" t="s">
        <v>23</v>
      </c>
      <c r="G88" t="s">
        <v>24</v>
      </c>
      <c r="H88" t="s">
        <v>25</v>
      </c>
      <c r="I88" t="s">
        <v>274</v>
      </c>
      <c r="J88">
        <v>1</v>
      </c>
      <c r="K88">
        <v>15.25</v>
      </c>
      <c r="L88">
        <v>34</v>
      </c>
      <c r="M88">
        <v>0</v>
      </c>
      <c r="N88">
        <f t="shared" si="8"/>
        <v>34</v>
      </c>
      <c r="O88">
        <f t="shared" si="9"/>
        <v>15.25</v>
      </c>
      <c r="P88">
        <f t="shared" si="10"/>
        <v>18.75</v>
      </c>
      <c r="Q88">
        <f t="shared" si="11"/>
        <v>0.55147058823529416</v>
      </c>
      <c r="R88" t="s">
        <v>31</v>
      </c>
      <c r="S88" t="s">
        <v>55</v>
      </c>
    </row>
    <row r="89" spans="1:19">
      <c r="A89" t="s">
        <v>145</v>
      </c>
      <c r="B89">
        <v>46044</v>
      </c>
      <c r="C89" t="s">
        <v>33</v>
      </c>
      <c r="D89" t="s">
        <v>34</v>
      </c>
      <c r="E89" t="s">
        <v>46</v>
      </c>
      <c r="F89" t="s">
        <v>76</v>
      </c>
      <c r="G89" t="s">
        <v>77</v>
      </c>
      <c r="H89" t="s">
        <v>78</v>
      </c>
      <c r="I89" t="s">
        <v>274</v>
      </c>
      <c r="J89">
        <v>3</v>
      </c>
      <c r="K89">
        <v>9.5</v>
      </c>
      <c r="L89">
        <v>24</v>
      </c>
      <c r="M89">
        <v>0</v>
      </c>
      <c r="N89">
        <f t="shared" si="8"/>
        <v>72</v>
      </c>
      <c r="O89">
        <f t="shared" si="9"/>
        <v>28.5</v>
      </c>
      <c r="P89">
        <f t="shared" si="10"/>
        <v>43.5</v>
      </c>
      <c r="Q89">
        <f t="shared" si="11"/>
        <v>0.60416666666666663</v>
      </c>
      <c r="R89" t="s">
        <v>31</v>
      </c>
      <c r="S89" t="s">
        <v>27</v>
      </c>
    </row>
    <row r="90" spans="1:19">
      <c r="A90" t="s">
        <v>146</v>
      </c>
      <c r="B90">
        <v>46099</v>
      </c>
      <c r="C90" t="s">
        <v>33</v>
      </c>
      <c r="D90" t="s">
        <v>34</v>
      </c>
      <c r="E90" t="s">
        <v>46</v>
      </c>
      <c r="F90" t="s">
        <v>84</v>
      </c>
      <c r="G90" t="s">
        <v>85</v>
      </c>
      <c r="H90" t="s">
        <v>49</v>
      </c>
      <c r="I90" t="s">
        <v>276</v>
      </c>
      <c r="J90">
        <v>2</v>
      </c>
      <c r="K90">
        <v>48</v>
      </c>
      <c r="L90">
        <v>119</v>
      </c>
      <c r="M90">
        <v>0.15</v>
      </c>
      <c r="N90">
        <f t="shared" si="8"/>
        <v>202.29999999999998</v>
      </c>
      <c r="O90">
        <f t="shared" si="9"/>
        <v>96</v>
      </c>
      <c r="P90">
        <f t="shared" si="10"/>
        <v>106.29999999999998</v>
      </c>
      <c r="Q90">
        <f t="shared" si="11"/>
        <v>0.52545724172021746</v>
      </c>
      <c r="R90" t="s">
        <v>26</v>
      </c>
      <c r="S90" t="s">
        <v>44</v>
      </c>
    </row>
    <row r="91" spans="1:19">
      <c r="A91" t="s">
        <v>147</v>
      </c>
      <c r="B91">
        <v>46090</v>
      </c>
      <c r="C91" t="s">
        <v>20</v>
      </c>
      <c r="D91" t="s">
        <v>21</v>
      </c>
      <c r="E91" t="s">
        <v>22</v>
      </c>
      <c r="F91" t="s">
        <v>35</v>
      </c>
      <c r="G91" t="s">
        <v>36</v>
      </c>
      <c r="H91" t="s">
        <v>37</v>
      </c>
      <c r="I91" t="s">
        <v>276</v>
      </c>
      <c r="J91">
        <v>1</v>
      </c>
      <c r="K91">
        <v>18</v>
      </c>
      <c r="L91">
        <v>42</v>
      </c>
      <c r="M91">
        <v>0</v>
      </c>
      <c r="N91">
        <f t="shared" si="8"/>
        <v>42</v>
      </c>
      <c r="O91">
        <f t="shared" si="9"/>
        <v>18</v>
      </c>
      <c r="P91">
        <f t="shared" si="10"/>
        <v>24</v>
      </c>
      <c r="Q91">
        <f t="shared" si="11"/>
        <v>0.5714285714285714</v>
      </c>
      <c r="R91" t="s">
        <v>26</v>
      </c>
      <c r="S91" t="s">
        <v>55</v>
      </c>
    </row>
    <row r="92" spans="1:19">
      <c r="A92" t="s">
        <v>148</v>
      </c>
      <c r="B92">
        <v>46138</v>
      </c>
      <c r="C92" t="s">
        <v>33</v>
      </c>
      <c r="D92" t="s">
        <v>34</v>
      </c>
      <c r="E92" t="s">
        <v>22</v>
      </c>
      <c r="F92" t="s">
        <v>29</v>
      </c>
      <c r="G92" t="s">
        <v>30</v>
      </c>
      <c r="H92" t="s">
        <v>25</v>
      </c>
      <c r="I92" t="s">
        <v>274</v>
      </c>
      <c r="J92">
        <v>1</v>
      </c>
      <c r="K92">
        <v>14.5</v>
      </c>
      <c r="L92">
        <v>32</v>
      </c>
      <c r="M92">
        <v>0</v>
      </c>
      <c r="N92">
        <f t="shared" si="8"/>
        <v>32</v>
      </c>
      <c r="O92">
        <f t="shared" si="9"/>
        <v>14.5</v>
      </c>
      <c r="P92">
        <f t="shared" si="10"/>
        <v>17.5</v>
      </c>
      <c r="Q92">
        <f t="shared" si="11"/>
        <v>0.546875</v>
      </c>
      <c r="R92" t="s">
        <v>31</v>
      </c>
      <c r="S92" t="s">
        <v>39</v>
      </c>
    </row>
    <row r="93" spans="1:19">
      <c r="A93" t="s">
        <v>149</v>
      </c>
      <c r="B93">
        <v>46041</v>
      </c>
      <c r="C93" t="s">
        <v>33</v>
      </c>
      <c r="D93" t="s">
        <v>34</v>
      </c>
      <c r="E93" t="s">
        <v>22</v>
      </c>
      <c r="F93" t="s">
        <v>41</v>
      </c>
      <c r="G93" t="s">
        <v>42</v>
      </c>
      <c r="H93" t="s">
        <v>43</v>
      </c>
      <c r="I93" t="s">
        <v>276</v>
      </c>
      <c r="J93">
        <v>1</v>
      </c>
      <c r="K93">
        <v>19.75</v>
      </c>
      <c r="L93">
        <v>48</v>
      </c>
      <c r="M93">
        <v>0.1</v>
      </c>
      <c r="N93">
        <f t="shared" si="8"/>
        <v>43.2</v>
      </c>
      <c r="O93">
        <f t="shared" si="9"/>
        <v>19.75</v>
      </c>
      <c r="P93">
        <f t="shared" si="10"/>
        <v>23.450000000000003</v>
      </c>
      <c r="Q93">
        <f t="shared" si="11"/>
        <v>0.54282407407407407</v>
      </c>
      <c r="R93" t="s">
        <v>38</v>
      </c>
      <c r="S93" t="s">
        <v>44</v>
      </c>
    </row>
    <row r="94" spans="1:19">
      <c r="A94" t="s">
        <v>150</v>
      </c>
      <c r="B94">
        <v>46061</v>
      </c>
      <c r="C94" t="s">
        <v>20</v>
      </c>
      <c r="D94" t="s">
        <v>21</v>
      </c>
      <c r="E94" t="s">
        <v>46</v>
      </c>
      <c r="F94" t="s">
        <v>51</v>
      </c>
      <c r="G94" t="s">
        <v>52</v>
      </c>
      <c r="H94" t="s">
        <v>49</v>
      </c>
      <c r="I94" t="s">
        <v>275</v>
      </c>
      <c r="J94">
        <v>2</v>
      </c>
      <c r="K94">
        <v>62</v>
      </c>
      <c r="L94">
        <v>149</v>
      </c>
      <c r="M94">
        <v>0.05</v>
      </c>
      <c r="N94">
        <f t="shared" si="8"/>
        <v>283.09999999999997</v>
      </c>
      <c r="O94">
        <f t="shared" si="9"/>
        <v>124</v>
      </c>
      <c r="P94">
        <f t="shared" si="10"/>
        <v>159.09999999999997</v>
      </c>
      <c r="Q94">
        <f t="shared" si="11"/>
        <v>0.56199222889438361</v>
      </c>
      <c r="R94" t="s">
        <v>26</v>
      </c>
      <c r="S94" t="s">
        <v>55</v>
      </c>
    </row>
    <row r="95" spans="1:19">
      <c r="A95" t="s">
        <v>151</v>
      </c>
      <c r="B95">
        <v>46135</v>
      </c>
      <c r="C95" t="s">
        <v>33</v>
      </c>
      <c r="D95" t="s">
        <v>34</v>
      </c>
      <c r="E95" t="s">
        <v>22</v>
      </c>
      <c r="F95" t="s">
        <v>41</v>
      </c>
      <c r="G95" t="s">
        <v>42</v>
      </c>
      <c r="H95" t="s">
        <v>43</v>
      </c>
      <c r="I95" t="s">
        <v>274</v>
      </c>
      <c r="J95">
        <v>1</v>
      </c>
      <c r="K95">
        <v>19.75</v>
      </c>
      <c r="L95">
        <v>48</v>
      </c>
      <c r="M95">
        <v>0.05</v>
      </c>
      <c r="N95">
        <f t="shared" si="8"/>
        <v>45.599999999999994</v>
      </c>
      <c r="O95">
        <f t="shared" si="9"/>
        <v>19.75</v>
      </c>
      <c r="P95">
        <f t="shared" si="10"/>
        <v>25.849999999999994</v>
      </c>
      <c r="Q95">
        <f t="shared" si="11"/>
        <v>0.5668859649122806</v>
      </c>
      <c r="R95" t="s">
        <v>59</v>
      </c>
      <c r="S95" t="s">
        <v>27</v>
      </c>
    </row>
    <row r="96" spans="1:19">
      <c r="A96" t="s">
        <v>152</v>
      </c>
      <c r="B96">
        <v>46033</v>
      </c>
      <c r="C96" t="s">
        <v>20</v>
      </c>
      <c r="D96" t="s">
        <v>21</v>
      </c>
      <c r="E96" t="s">
        <v>46</v>
      </c>
      <c r="F96" t="s">
        <v>84</v>
      </c>
      <c r="G96" t="s">
        <v>85</v>
      </c>
      <c r="H96" t="s">
        <v>49</v>
      </c>
      <c r="I96" t="s">
        <v>276</v>
      </c>
      <c r="J96">
        <v>2</v>
      </c>
      <c r="K96">
        <v>48</v>
      </c>
      <c r="L96">
        <v>119</v>
      </c>
      <c r="M96">
        <v>0.05</v>
      </c>
      <c r="N96">
        <f t="shared" si="8"/>
        <v>226.1</v>
      </c>
      <c r="O96">
        <f t="shared" si="9"/>
        <v>96</v>
      </c>
      <c r="P96">
        <f t="shared" si="10"/>
        <v>130.1</v>
      </c>
      <c r="Q96">
        <f t="shared" si="11"/>
        <v>0.57540911101282621</v>
      </c>
      <c r="R96" t="s">
        <v>26</v>
      </c>
      <c r="S96" t="s">
        <v>44</v>
      </c>
    </row>
    <row r="97" spans="1:19">
      <c r="A97" t="s">
        <v>153</v>
      </c>
      <c r="B97">
        <v>46091</v>
      </c>
      <c r="C97" t="s">
        <v>20</v>
      </c>
      <c r="D97" t="s">
        <v>21</v>
      </c>
      <c r="E97" t="s">
        <v>22</v>
      </c>
      <c r="F97" t="s">
        <v>35</v>
      </c>
      <c r="G97" t="s">
        <v>36</v>
      </c>
      <c r="H97" t="s">
        <v>37</v>
      </c>
      <c r="I97" t="s">
        <v>276</v>
      </c>
      <c r="J97">
        <v>1</v>
      </c>
      <c r="K97">
        <v>18</v>
      </c>
      <c r="L97">
        <v>42</v>
      </c>
      <c r="M97">
        <v>0.05</v>
      </c>
      <c r="N97">
        <f t="shared" si="8"/>
        <v>39.9</v>
      </c>
      <c r="O97">
        <f t="shared" si="9"/>
        <v>18</v>
      </c>
      <c r="P97">
        <f t="shared" si="10"/>
        <v>21.9</v>
      </c>
      <c r="Q97">
        <f t="shared" si="11"/>
        <v>0.54887218045112784</v>
      </c>
      <c r="R97" t="s">
        <v>38</v>
      </c>
      <c r="S97" t="s">
        <v>27</v>
      </c>
    </row>
    <row r="98" spans="1:19">
      <c r="A98" t="s">
        <v>154</v>
      </c>
      <c r="B98">
        <v>46134</v>
      </c>
      <c r="C98" t="s">
        <v>20</v>
      </c>
      <c r="D98" t="s">
        <v>21</v>
      </c>
      <c r="E98" t="s">
        <v>22</v>
      </c>
      <c r="F98" t="s">
        <v>41</v>
      </c>
      <c r="G98" t="s">
        <v>42</v>
      </c>
      <c r="H98" t="s">
        <v>43</v>
      </c>
      <c r="I98" t="s">
        <v>275</v>
      </c>
      <c r="J98">
        <v>1</v>
      </c>
      <c r="K98">
        <v>19.75</v>
      </c>
      <c r="L98">
        <v>48</v>
      </c>
      <c r="M98">
        <v>0</v>
      </c>
      <c r="N98">
        <f t="shared" ref="N98:N129" si="12">J98*L98*(1-M98)</f>
        <v>48</v>
      </c>
      <c r="O98">
        <f t="shared" ref="O98:O129" si="13">J98*K98</f>
        <v>19.75</v>
      </c>
      <c r="P98">
        <f t="shared" ref="P98:P129" si="14">N98-O98</f>
        <v>28.25</v>
      </c>
      <c r="Q98">
        <f t="shared" ref="Q98:Q129" si="15">IF(N98=0,0,P98/N98)</f>
        <v>0.58854166666666663</v>
      </c>
      <c r="R98" t="s">
        <v>38</v>
      </c>
      <c r="S98" t="s">
        <v>39</v>
      </c>
    </row>
    <row r="99" spans="1:19">
      <c r="A99" t="s">
        <v>155</v>
      </c>
      <c r="B99">
        <v>46105</v>
      </c>
      <c r="C99" t="s">
        <v>33</v>
      </c>
      <c r="D99" t="s">
        <v>34</v>
      </c>
      <c r="E99" t="s">
        <v>46</v>
      </c>
      <c r="F99" t="s">
        <v>62</v>
      </c>
      <c r="G99" t="s">
        <v>63</v>
      </c>
      <c r="H99" t="s">
        <v>49</v>
      </c>
      <c r="I99" t="s">
        <v>274</v>
      </c>
      <c r="J99">
        <v>1</v>
      </c>
      <c r="K99">
        <v>42</v>
      </c>
      <c r="L99">
        <v>99</v>
      </c>
      <c r="M99">
        <v>0.1</v>
      </c>
      <c r="N99">
        <f t="shared" si="12"/>
        <v>89.100000000000009</v>
      </c>
      <c r="O99">
        <f t="shared" si="13"/>
        <v>42</v>
      </c>
      <c r="P99">
        <f t="shared" si="14"/>
        <v>47.100000000000009</v>
      </c>
      <c r="Q99">
        <f t="shared" si="15"/>
        <v>0.52861952861952866</v>
      </c>
      <c r="R99" t="s">
        <v>38</v>
      </c>
      <c r="S99" t="s">
        <v>27</v>
      </c>
    </row>
    <row r="100" spans="1:19">
      <c r="A100" t="s">
        <v>156</v>
      </c>
      <c r="B100">
        <v>46032</v>
      </c>
      <c r="C100" t="s">
        <v>33</v>
      </c>
      <c r="D100" t="s">
        <v>34</v>
      </c>
      <c r="E100" t="s">
        <v>22</v>
      </c>
      <c r="F100" t="s">
        <v>41</v>
      </c>
      <c r="G100" t="s">
        <v>42</v>
      </c>
      <c r="H100" t="s">
        <v>43</v>
      </c>
      <c r="I100" t="s">
        <v>274</v>
      </c>
      <c r="J100">
        <v>1</v>
      </c>
      <c r="K100">
        <v>19.75</v>
      </c>
      <c r="L100">
        <v>48</v>
      </c>
      <c r="M100">
        <v>0</v>
      </c>
      <c r="N100">
        <f t="shared" si="12"/>
        <v>48</v>
      </c>
      <c r="O100">
        <f t="shared" si="13"/>
        <v>19.75</v>
      </c>
      <c r="P100">
        <f t="shared" si="14"/>
        <v>28.25</v>
      </c>
      <c r="Q100">
        <f t="shared" si="15"/>
        <v>0.58854166666666663</v>
      </c>
      <c r="R100" t="s">
        <v>26</v>
      </c>
      <c r="S100" t="s">
        <v>27</v>
      </c>
    </row>
    <row r="101" spans="1:19">
      <c r="A101" t="s">
        <v>157</v>
      </c>
      <c r="B101">
        <v>46161</v>
      </c>
      <c r="C101" t="s">
        <v>20</v>
      </c>
      <c r="D101" t="s">
        <v>21</v>
      </c>
      <c r="E101" t="s">
        <v>46</v>
      </c>
      <c r="F101" t="s">
        <v>51</v>
      </c>
      <c r="G101" t="s">
        <v>52</v>
      </c>
      <c r="H101" t="s">
        <v>49</v>
      </c>
      <c r="I101" t="s">
        <v>274</v>
      </c>
      <c r="J101">
        <v>1</v>
      </c>
      <c r="K101">
        <v>62</v>
      </c>
      <c r="L101">
        <v>149</v>
      </c>
      <c r="M101">
        <v>0</v>
      </c>
      <c r="N101">
        <f t="shared" si="12"/>
        <v>149</v>
      </c>
      <c r="O101">
        <f t="shared" si="13"/>
        <v>62</v>
      </c>
      <c r="P101">
        <f t="shared" si="14"/>
        <v>87</v>
      </c>
      <c r="Q101">
        <f t="shared" si="15"/>
        <v>0.58389261744966447</v>
      </c>
      <c r="R101" t="s">
        <v>38</v>
      </c>
      <c r="S101" t="s">
        <v>27</v>
      </c>
    </row>
    <row r="102" spans="1:19">
      <c r="A102" t="s">
        <v>158</v>
      </c>
      <c r="B102">
        <v>46091</v>
      </c>
      <c r="C102" t="s">
        <v>20</v>
      </c>
      <c r="D102" t="s">
        <v>21</v>
      </c>
      <c r="E102" t="s">
        <v>22</v>
      </c>
      <c r="F102" t="s">
        <v>29</v>
      </c>
      <c r="G102" t="s">
        <v>30</v>
      </c>
      <c r="H102" t="s">
        <v>25</v>
      </c>
      <c r="I102" t="s">
        <v>275</v>
      </c>
      <c r="J102">
        <v>1</v>
      </c>
      <c r="K102">
        <v>14.5</v>
      </c>
      <c r="L102">
        <v>32</v>
      </c>
      <c r="M102">
        <v>0.1</v>
      </c>
      <c r="N102">
        <f t="shared" si="12"/>
        <v>28.8</v>
      </c>
      <c r="O102">
        <f t="shared" si="13"/>
        <v>14.5</v>
      </c>
      <c r="P102">
        <f t="shared" si="14"/>
        <v>14.3</v>
      </c>
      <c r="Q102">
        <f t="shared" si="15"/>
        <v>0.49652777777777779</v>
      </c>
      <c r="R102" t="s">
        <v>38</v>
      </c>
      <c r="S102" t="s">
        <v>44</v>
      </c>
    </row>
    <row r="103" spans="1:19">
      <c r="A103" t="s">
        <v>159</v>
      </c>
      <c r="B103">
        <v>46063</v>
      </c>
      <c r="C103" t="s">
        <v>20</v>
      </c>
      <c r="D103" t="s">
        <v>21</v>
      </c>
      <c r="E103" t="s">
        <v>22</v>
      </c>
      <c r="F103" t="s">
        <v>29</v>
      </c>
      <c r="G103" t="s">
        <v>30</v>
      </c>
      <c r="H103" t="s">
        <v>25</v>
      </c>
      <c r="I103" t="s">
        <v>274</v>
      </c>
      <c r="J103">
        <v>1</v>
      </c>
      <c r="K103">
        <v>14.5</v>
      </c>
      <c r="L103">
        <v>32</v>
      </c>
      <c r="M103">
        <v>0</v>
      </c>
      <c r="N103">
        <f t="shared" si="12"/>
        <v>32</v>
      </c>
      <c r="O103">
        <f t="shared" si="13"/>
        <v>14.5</v>
      </c>
      <c r="P103">
        <f t="shared" si="14"/>
        <v>17.5</v>
      </c>
      <c r="Q103">
        <f t="shared" si="15"/>
        <v>0.546875</v>
      </c>
      <c r="R103" t="s">
        <v>26</v>
      </c>
      <c r="S103" t="s">
        <v>55</v>
      </c>
    </row>
    <row r="104" spans="1:19">
      <c r="A104" t="s">
        <v>160</v>
      </c>
      <c r="B104">
        <v>46053</v>
      </c>
      <c r="C104" t="s">
        <v>33</v>
      </c>
      <c r="D104" t="s">
        <v>34</v>
      </c>
      <c r="E104" t="s">
        <v>22</v>
      </c>
      <c r="F104" t="s">
        <v>23</v>
      </c>
      <c r="G104" t="s">
        <v>24</v>
      </c>
      <c r="H104" t="s">
        <v>25</v>
      </c>
      <c r="I104" t="s">
        <v>276</v>
      </c>
      <c r="J104">
        <v>1</v>
      </c>
      <c r="K104">
        <v>15.25</v>
      </c>
      <c r="L104">
        <v>34</v>
      </c>
      <c r="M104">
        <v>0</v>
      </c>
      <c r="N104">
        <f t="shared" si="12"/>
        <v>34</v>
      </c>
      <c r="O104">
        <f t="shared" si="13"/>
        <v>15.25</v>
      </c>
      <c r="P104">
        <f t="shared" si="14"/>
        <v>18.75</v>
      </c>
      <c r="Q104">
        <f t="shared" si="15"/>
        <v>0.55147058823529416</v>
      </c>
      <c r="R104" t="s">
        <v>59</v>
      </c>
      <c r="S104" t="s">
        <v>27</v>
      </c>
    </row>
    <row r="105" spans="1:19">
      <c r="A105" t="s">
        <v>161</v>
      </c>
      <c r="B105">
        <v>46085</v>
      </c>
      <c r="C105" t="s">
        <v>33</v>
      </c>
      <c r="D105" t="s">
        <v>34</v>
      </c>
      <c r="E105" t="s">
        <v>46</v>
      </c>
      <c r="F105" t="s">
        <v>84</v>
      </c>
      <c r="G105" t="s">
        <v>85</v>
      </c>
      <c r="H105" t="s">
        <v>49</v>
      </c>
      <c r="I105" t="s">
        <v>276</v>
      </c>
      <c r="J105">
        <v>1</v>
      </c>
      <c r="K105">
        <v>48</v>
      </c>
      <c r="L105">
        <v>119</v>
      </c>
      <c r="M105">
        <v>0</v>
      </c>
      <c r="N105">
        <f t="shared" si="12"/>
        <v>119</v>
      </c>
      <c r="O105">
        <f t="shared" si="13"/>
        <v>48</v>
      </c>
      <c r="P105">
        <f t="shared" si="14"/>
        <v>71</v>
      </c>
      <c r="Q105">
        <f t="shared" si="15"/>
        <v>0.59663865546218486</v>
      </c>
      <c r="R105" t="s">
        <v>31</v>
      </c>
      <c r="S105" t="s">
        <v>44</v>
      </c>
    </row>
    <row r="106" spans="1:19">
      <c r="A106" t="s">
        <v>162</v>
      </c>
      <c r="B106">
        <v>46110</v>
      </c>
      <c r="C106" t="s">
        <v>33</v>
      </c>
      <c r="D106" t="s">
        <v>34</v>
      </c>
      <c r="E106" t="s">
        <v>22</v>
      </c>
      <c r="F106" t="s">
        <v>41</v>
      </c>
      <c r="G106" t="s">
        <v>42</v>
      </c>
      <c r="H106" t="s">
        <v>43</v>
      </c>
      <c r="I106" t="s">
        <v>274</v>
      </c>
      <c r="J106">
        <v>2</v>
      </c>
      <c r="K106">
        <v>19.75</v>
      </c>
      <c r="L106">
        <v>48</v>
      </c>
      <c r="M106">
        <v>0</v>
      </c>
      <c r="N106">
        <f t="shared" si="12"/>
        <v>96</v>
      </c>
      <c r="O106">
        <f t="shared" si="13"/>
        <v>39.5</v>
      </c>
      <c r="P106">
        <f t="shared" si="14"/>
        <v>56.5</v>
      </c>
      <c r="Q106">
        <f t="shared" si="15"/>
        <v>0.58854166666666663</v>
      </c>
      <c r="R106" t="s">
        <v>59</v>
      </c>
      <c r="S106" t="s">
        <v>39</v>
      </c>
    </row>
    <row r="107" spans="1:19">
      <c r="A107" t="s">
        <v>163</v>
      </c>
      <c r="B107">
        <v>46061</v>
      </c>
      <c r="C107" t="s">
        <v>33</v>
      </c>
      <c r="D107" t="s">
        <v>34</v>
      </c>
      <c r="E107" t="s">
        <v>46</v>
      </c>
      <c r="F107" t="s">
        <v>76</v>
      </c>
      <c r="G107" t="s">
        <v>77</v>
      </c>
      <c r="H107" t="s">
        <v>78</v>
      </c>
      <c r="I107" t="s">
        <v>274</v>
      </c>
      <c r="J107">
        <v>1</v>
      </c>
      <c r="K107">
        <v>9.5</v>
      </c>
      <c r="L107">
        <v>24</v>
      </c>
      <c r="M107">
        <v>0</v>
      </c>
      <c r="N107">
        <f t="shared" si="12"/>
        <v>24</v>
      </c>
      <c r="O107">
        <f t="shared" si="13"/>
        <v>9.5</v>
      </c>
      <c r="P107">
        <f t="shared" si="14"/>
        <v>14.5</v>
      </c>
      <c r="Q107">
        <f t="shared" si="15"/>
        <v>0.60416666666666663</v>
      </c>
      <c r="R107" t="s">
        <v>38</v>
      </c>
      <c r="S107" t="s">
        <v>27</v>
      </c>
    </row>
    <row r="108" spans="1:19">
      <c r="A108" t="s">
        <v>164</v>
      </c>
      <c r="B108">
        <v>46084</v>
      </c>
      <c r="C108" t="s">
        <v>20</v>
      </c>
      <c r="D108" t="s">
        <v>21</v>
      </c>
      <c r="E108" t="s">
        <v>46</v>
      </c>
      <c r="F108" t="s">
        <v>47</v>
      </c>
      <c r="G108" t="s">
        <v>48</v>
      </c>
      <c r="H108" t="s">
        <v>49</v>
      </c>
      <c r="I108" t="s">
        <v>274</v>
      </c>
      <c r="J108">
        <v>1</v>
      </c>
      <c r="K108">
        <v>38</v>
      </c>
      <c r="L108">
        <v>89</v>
      </c>
      <c r="M108">
        <v>0</v>
      </c>
      <c r="N108">
        <f t="shared" si="12"/>
        <v>89</v>
      </c>
      <c r="O108">
        <f t="shared" si="13"/>
        <v>38</v>
      </c>
      <c r="P108">
        <f t="shared" si="14"/>
        <v>51</v>
      </c>
      <c r="Q108">
        <f t="shared" si="15"/>
        <v>0.5730337078651685</v>
      </c>
      <c r="R108" t="s">
        <v>26</v>
      </c>
      <c r="S108" t="s">
        <v>39</v>
      </c>
    </row>
    <row r="109" spans="1:19">
      <c r="A109" t="s">
        <v>165</v>
      </c>
      <c r="B109">
        <v>46121</v>
      </c>
      <c r="C109" t="s">
        <v>33</v>
      </c>
      <c r="D109" t="s">
        <v>34</v>
      </c>
      <c r="E109" t="s">
        <v>46</v>
      </c>
      <c r="F109" t="s">
        <v>84</v>
      </c>
      <c r="G109" t="s">
        <v>85</v>
      </c>
      <c r="H109" t="s">
        <v>49</v>
      </c>
      <c r="I109" t="s">
        <v>276</v>
      </c>
      <c r="J109">
        <v>3</v>
      </c>
      <c r="K109">
        <v>48</v>
      </c>
      <c r="L109">
        <v>119</v>
      </c>
      <c r="M109">
        <v>0.05</v>
      </c>
      <c r="N109">
        <f t="shared" si="12"/>
        <v>339.15</v>
      </c>
      <c r="O109">
        <f t="shared" si="13"/>
        <v>144</v>
      </c>
      <c r="P109">
        <f t="shared" si="14"/>
        <v>195.14999999999998</v>
      </c>
      <c r="Q109">
        <f t="shared" si="15"/>
        <v>0.5754091110128261</v>
      </c>
      <c r="R109" t="s">
        <v>38</v>
      </c>
      <c r="S109" t="s">
        <v>44</v>
      </c>
    </row>
    <row r="110" spans="1:19">
      <c r="A110" t="s">
        <v>166</v>
      </c>
      <c r="B110">
        <v>46048</v>
      </c>
      <c r="C110" t="s">
        <v>33</v>
      </c>
      <c r="D110" t="s">
        <v>34</v>
      </c>
      <c r="E110" t="s">
        <v>22</v>
      </c>
      <c r="F110" t="s">
        <v>57</v>
      </c>
      <c r="G110" t="s">
        <v>58</v>
      </c>
      <c r="H110" t="s">
        <v>43</v>
      </c>
      <c r="I110" t="s">
        <v>275</v>
      </c>
      <c r="J110">
        <v>2</v>
      </c>
      <c r="K110">
        <v>20</v>
      </c>
      <c r="L110">
        <v>45</v>
      </c>
      <c r="M110">
        <v>0</v>
      </c>
      <c r="N110">
        <f t="shared" si="12"/>
        <v>90</v>
      </c>
      <c r="O110">
        <f t="shared" si="13"/>
        <v>40</v>
      </c>
      <c r="P110">
        <f t="shared" si="14"/>
        <v>50</v>
      </c>
      <c r="Q110">
        <f t="shared" si="15"/>
        <v>0.55555555555555558</v>
      </c>
      <c r="R110" t="s">
        <v>26</v>
      </c>
      <c r="S110" t="s">
        <v>55</v>
      </c>
    </row>
    <row r="111" spans="1:19">
      <c r="A111" t="s">
        <v>167</v>
      </c>
      <c r="B111">
        <v>46042</v>
      </c>
      <c r="C111" t="s">
        <v>20</v>
      </c>
      <c r="D111" t="s">
        <v>21</v>
      </c>
      <c r="E111" t="s">
        <v>46</v>
      </c>
      <c r="F111" t="s">
        <v>62</v>
      </c>
      <c r="G111" t="s">
        <v>63</v>
      </c>
      <c r="H111" t="s">
        <v>49</v>
      </c>
      <c r="I111" t="s">
        <v>274</v>
      </c>
      <c r="J111">
        <v>1</v>
      </c>
      <c r="K111">
        <v>42</v>
      </c>
      <c r="L111">
        <v>99</v>
      </c>
      <c r="M111">
        <v>0.1</v>
      </c>
      <c r="N111">
        <f t="shared" si="12"/>
        <v>89.100000000000009</v>
      </c>
      <c r="O111">
        <f t="shared" si="13"/>
        <v>42</v>
      </c>
      <c r="P111">
        <f t="shared" si="14"/>
        <v>47.100000000000009</v>
      </c>
      <c r="Q111">
        <f t="shared" si="15"/>
        <v>0.52861952861952866</v>
      </c>
      <c r="R111" t="s">
        <v>38</v>
      </c>
      <c r="S111" t="s">
        <v>44</v>
      </c>
    </row>
    <row r="112" spans="1:19">
      <c r="A112" t="s">
        <v>168</v>
      </c>
      <c r="B112">
        <v>46104</v>
      </c>
      <c r="C112" t="s">
        <v>33</v>
      </c>
      <c r="D112" t="s">
        <v>34</v>
      </c>
      <c r="E112" t="s">
        <v>46</v>
      </c>
      <c r="F112" t="s">
        <v>47</v>
      </c>
      <c r="G112" t="s">
        <v>48</v>
      </c>
      <c r="H112" t="s">
        <v>49</v>
      </c>
      <c r="I112" t="s">
        <v>275</v>
      </c>
      <c r="J112">
        <v>1</v>
      </c>
      <c r="K112">
        <v>38</v>
      </c>
      <c r="L112">
        <v>89</v>
      </c>
      <c r="M112">
        <v>0.1</v>
      </c>
      <c r="N112">
        <f t="shared" si="12"/>
        <v>80.100000000000009</v>
      </c>
      <c r="O112">
        <f t="shared" si="13"/>
        <v>38</v>
      </c>
      <c r="P112">
        <f t="shared" si="14"/>
        <v>42.100000000000009</v>
      </c>
      <c r="Q112">
        <f t="shared" si="15"/>
        <v>0.52559300873907622</v>
      </c>
      <c r="R112" t="s">
        <v>26</v>
      </c>
      <c r="S112" t="s">
        <v>44</v>
      </c>
    </row>
    <row r="113" spans="1:19">
      <c r="A113" t="s">
        <v>169</v>
      </c>
      <c r="B113">
        <v>46081</v>
      </c>
      <c r="C113" t="s">
        <v>33</v>
      </c>
      <c r="D113" t="s">
        <v>34</v>
      </c>
      <c r="E113" t="s">
        <v>22</v>
      </c>
      <c r="F113" t="s">
        <v>35</v>
      </c>
      <c r="G113" t="s">
        <v>36</v>
      </c>
      <c r="H113" t="s">
        <v>37</v>
      </c>
      <c r="I113" t="s">
        <v>275</v>
      </c>
      <c r="J113">
        <v>1</v>
      </c>
      <c r="K113">
        <v>18</v>
      </c>
      <c r="L113">
        <v>42</v>
      </c>
      <c r="M113">
        <v>0</v>
      </c>
      <c r="N113">
        <f t="shared" si="12"/>
        <v>42</v>
      </c>
      <c r="O113">
        <f t="shared" si="13"/>
        <v>18</v>
      </c>
      <c r="P113">
        <f t="shared" si="14"/>
        <v>24</v>
      </c>
      <c r="Q113">
        <f t="shared" si="15"/>
        <v>0.5714285714285714</v>
      </c>
      <c r="R113" t="s">
        <v>26</v>
      </c>
      <c r="S113" t="s">
        <v>27</v>
      </c>
    </row>
    <row r="114" spans="1:19">
      <c r="A114" t="s">
        <v>170</v>
      </c>
      <c r="B114">
        <v>46030</v>
      </c>
      <c r="C114" t="s">
        <v>33</v>
      </c>
      <c r="D114" t="s">
        <v>34</v>
      </c>
      <c r="E114" t="s">
        <v>22</v>
      </c>
      <c r="F114" t="s">
        <v>57</v>
      </c>
      <c r="G114" t="s">
        <v>58</v>
      </c>
      <c r="H114" t="s">
        <v>43</v>
      </c>
      <c r="I114" t="s">
        <v>276</v>
      </c>
      <c r="J114">
        <v>1</v>
      </c>
      <c r="K114">
        <v>20</v>
      </c>
      <c r="L114">
        <v>45</v>
      </c>
      <c r="M114">
        <v>0.05</v>
      </c>
      <c r="N114">
        <f t="shared" si="12"/>
        <v>42.75</v>
      </c>
      <c r="O114">
        <f t="shared" si="13"/>
        <v>20</v>
      </c>
      <c r="P114">
        <f t="shared" si="14"/>
        <v>22.75</v>
      </c>
      <c r="Q114">
        <f t="shared" si="15"/>
        <v>0.53216374269005851</v>
      </c>
      <c r="R114" t="s">
        <v>59</v>
      </c>
      <c r="S114" t="s">
        <v>39</v>
      </c>
    </row>
    <row r="115" spans="1:19">
      <c r="A115" t="s">
        <v>171</v>
      </c>
      <c r="B115">
        <v>46085</v>
      </c>
      <c r="C115" t="s">
        <v>20</v>
      </c>
      <c r="D115" t="s">
        <v>21</v>
      </c>
      <c r="E115" t="s">
        <v>46</v>
      </c>
      <c r="F115" t="s">
        <v>62</v>
      </c>
      <c r="G115" t="s">
        <v>63</v>
      </c>
      <c r="H115" t="s">
        <v>49</v>
      </c>
      <c r="I115" t="s">
        <v>276</v>
      </c>
      <c r="J115">
        <v>1</v>
      </c>
      <c r="K115">
        <v>42</v>
      </c>
      <c r="L115">
        <v>99</v>
      </c>
      <c r="M115">
        <v>0</v>
      </c>
      <c r="N115">
        <f t="shared" si="12"/>
        <v>99</v>
      </c>
      <c r="O115">
        <f t="shared" si="13"/>
        <v>42</v>
      </c>
      <c r="P115">
        <f t="shared" si="14"/>
        <v>57</v>
      </c>
      <c r="Q115">
        <f t="shared" si="15"/>
        <v>0.5757575757575758</v>
      </c>
      <c r="R115" t="s">
        <v>31</v>
      </c>
      <c r="S115" t="s">
        <v>55</v>
      </c>
    </row>
    <row r="116" spans="1:19">
      <c r="A116" t="s">
        <v>172</v>
      </c>
      <c r="B116">
        <v>46084</v>
      </c>
      <c r="C116" t="s">
        <v>33</v>
      </c>
      <c r="D116" t="s">
        <v>34</v>
      </c>
      <c r="E116" t="s">
        <v>22</v>
      </c>
      <c r="F116" t="s">
        <v>23</v>
      </c>
      <c r="G116" t="s">
        <v>24</v>
      </c>
      <c r="H116" t="s">
        <v>25</v>
      </c>
      <c r="I116" t="s">
        <v>276</v>
      </c>
      <c r="J116">
        <v>1</v>
      </c>
      <c r="K116">
        <v>15.25</v>
      </c>
      <c r="L116">
        <v>34</v>
      </c>
      <c r="M116">
        <v>0</v>
      </c>
      <c r="N116">
        <f t="shared" si="12"/>
        <v>34</v>
      </c>
      <c r="O116">
        <f t="shared" si="13"/>
        <v>15.25</v>
      </c>
      <c r="P116">
        <f t="shared" si="14"/>
        <v>18.75</v>
      </c>
      <c r="Q116">
        <f t="shared" si="15"/>
        <v>0.55147058823529416</v>
      </c>
      <c r="R116" t="s">
        <v>38</v>
      </c>
      <c r="S116" t="s">
        <v>39</v>
      </c>
    </row>
    <row r="117" spans="1:19">
      <c r="A117" t="s">
        <v>173</v>
      </c>
      <c r="B117">
        <v>46025</v>
      </c>
      <c r="C117" t="s">
        <v>33</v>
      </c>
      <c r="D117" t="s">
        <v>34</v>
      </c>
      <c r="E117" t="s">
        <v>46</v>
      </c>
      <c r="F117" t="s">
        <v>84</v>
      </c>
      <c r="G117" t="s">
        <v>85</v>
      </c>
      <c r="H117" t="s">
        <v>49</v>
      </c>
      <c r="I117" t="s">
        <v>276</v>
      </c>
      <c r="J117">
        <v>2</v>
      </c>
      <c r="K117">
        <v>48</v>
      </c>
      <c r="L117">
        <v>119</v>
      </c>
      <c r="M117">
        <v>0</v>
      </c>
      <c r="N117">
        <f t="shared" si="12"/>
        <v>238</v>
      </c>
      <c r="O117">
        <f t="shared" si="13"/>
        <v>96</v>
      </c>
      <c r="P117">
        <f t="shared" si="14"/>
        <v>142</v>
      </c>
      <c r="Q117">
        <f t="shared" si="15"/>
        <v>0.59663865546218486</v>
      </c>
      <c r="R117" t="s">
        <v>31</v>
      </c>
      <c r="S117" t="s">
        <v>44</v>
      </c>
    </row>
    <row r="118" spans="1:19">
      <c r="A118" t="s">
        <v>174</v>
      </c>
      <c r="B118">
        <v>46099</v>
      </c>
      <c r="C118" t="s">
        <v>33</v>
      </c>
      <c r="D118" t="s">
        <v>34</v>
      </c>
      <c r="E118" t="s">
        <v>46</v>
      </c>
      <c r="F118" t="s">
        <v>84</v>
      </c>
      <c r="G118" t="s">
        <v>85</v>
      </c>
      <c r="H118" t="s">
        <v>49</v>
      </c>
      <c r="I118" t="s">
        <v>276</v>
      </c>
      <c r="J118">
        <v>1</v>
      </c>
      <c r="K118">
        <v>48</v>
      </c>
      <c r="L118">
        <v>119</v>
      </c>
      <c r="M118">
        <v>0</v>
      </c>
      <c r="N118">
        <f t="shared" si="12"/>
        <v>119</v>
      </c>
      <c r="O118">
        <f t="shared" si="13"/>
        <v>48</v>
      </c>
      <c r="P118">
        <f t="shared" si="14"/>
        <v>71</v>
      </c>
      <c r="Q118">
        <f t="shared" si="15"/>
        <v>0.59663865546218486</v>
      </c>
      <c r="R118" t="s">
        <v>38</v>
      </c>
      <c r="S118" t="s">
        <v>39</v>
      </c>
    </row>
    <row r="119" spans="1:19">
      <c r="A119" t="s">
        <v>175</v>
      </c>
      <c r="B119">
        <v>46146</v>
      </c>
      <c r="C119" t="s">
        <v>33</v>
      </c>
      <c r="D119" t="s">
        <v>34</v>
      </c>
      <c r="E119" t="s">
        <v>22</v>
      </c>
      <c r="F119" t="s">
        <v>35</v>
      </c>
      <c r="G119" t="s">
        <v>36</v>
      </c>
      <c r="H119" t="s">
        <v>37</v>
      </c>
      <c r="I119" t="s">
        <v>274</v>
      </c>
      <c r="J119">
        <v>1</v>
      </c>
      <c r="K119">
        <v>18</v>
      </c>
      <c r="L119">
        <v>42</v>
      </c>
      <c r="M119">
        <v>0</v>
      </c>
      <c r="N119">
        <f t="shared" si="12"/>
        <v>42</v>
      </c>
      <c r="O119">
        <f t="shared" si="13"/>
        <v>18</v>
      </c>
      <c r="P119">
        <f t="shared" si="14"/>
        <v>24</v>
      </c>
      <c r="Q119">
        <f t="shared" si="15"/>
        <v>0.5714285714285714</v>
      </c>
      <c r="R119" t="s">
        <v>59</v>
      </c>
      <c r="S119" t="s">
        <v>39</v>
      </c>
    </row>
    <row r="120" spans="1:19">
      <c r="A120" t="s">
        <v>176</v>
      </c>
      <c r="B120">
        <v>46093</v>
      </c>
      <c r="C120" t="s">
        <v>33</v>
      </c>
      <c r="D120" t="s">
        <v>34</v>
      </c>
      <c r="E120" t="s">
        <v>22</v>
      </c>
      <c r="F120" t="s">
        <v>29</v>
      </c>
      <c r="G120" t="s">
        <v>30</v>
      </c>
      <c r="H120" t="s">
        <v>25</v>
      </c>
      <c r="I120" t="s">
        <v>274</v>
      </c>
      <c r="J120">
        <v>1</v>
      </c>
      <c r="K120">
        <v>14.5</v>
      </c>
      <c r="L120">
        <v>32</v>
      </c>
      <c r="M120">
        <v>0.1</v>
      </c>
      <c r="N120">
        <f t="shared" si="12"/>
        <v>28.8</v>
      </c>
      <c r="O120">
        <f t="shared" si="13"/>
        <v>14.5</v>
      </c>
      <c r="P120">
        <f t="shared" si="14"/>
        <v>14.3</v>
      </c>
      <c r="Q120">
        <f t="shared" si="15"/>
        <v>0.49652777777777779</v>
      </c>
      <c r="R120" t="s">
        <v>38</v>
      </c>
      <c r="S120" t="s">
        <v>39</v>
      </c>
    </row>
    <row r="121" spans="1:19">
      <c r="A121" t="s">
        <v>177</v>
      </c>
      <c r="B121">
        <v>46079</v>
      </c>
      <c r="C121" t="s">
        <v>33</v>
      </c>
      <c r="D121" t="s">
        <v>34</v>
      </c>
      <c r="E121" t="s">
        <v>22</v>
      </c>
      <c r="F121" t="s">
        <v>35</v>
      </c>
      <c r="G121" t="s">
        <v>36</v>
      </c>
      <c r="H121" t="s">
        <v>37</v>
      </c>
      <c r="I121" t="s">
        <v>276</v>
      </c>
      <c r="J121">
        <v>1</v>
      </c>
      <c r="K121">
        <v>18</v>
      </c>
      <c r="L121">
        <v>42</v>
      </c>
      <c r="M121">
        <v>0</v>
      </c>
      <c r="N121">
        <f t="shared" si="12"/>
        <v>42</v>
      </c>
      <c r="O121">
        <f t="shared" si="13"/>
        <v>18</v>
      </c>
      <c r="P121">
        <f t="shared" si="14"/>
        <v>24</v>
      </c>
      <c r="Q121">
        <f t="shared" si="15"/>
        <v>0.5714285714285714</v>
      </c>
      <c r="R121" t="s">
        <v>26</v>
      </c>
      <c r="S121" t="s">
        <v>44</v>
      </c>
    </row>
    <row r="122" spans="1:19">
      <c r="A122" t="s">
        <v>178</v>
      </c>
      <c r="B122">
        <v>46031</v>
      </c>
      <c r="C122" t="s">
        <v>33</v>
      </c>
      <c r="D122" t="s">
        <v>34</v>
      </c>
      <c r="E122" t="s">
        <v>22</v>
      </c>
      <c r="F122" t="s">
        <v>41</v>
      </c>
      <c r="G122" t="s">
        <v>42</v>
      </c>
      <c r="H122" t="s">
        <v>43</v>
      </c>
      <c r="I122" t="s">
        <v>275</v>
      </c>
      <c r="J122">
        <v>1</v>
      </c>
      <c r="K122">
        <v>19.75</v>
      </c>
      <c r="L122">
        <v>48</v>
      </c>
      <c r="M122">
        <v>0.05</v>
      </c>
      <c r="N122">
        <f t="shared" si="12"/>
        <v>45.599999999999994</v>
      </c>
      <c r="O122">
        <f t="shared" si="13"/>
        <v>19.75</v>
      </c>
      <c r="P122">
        <f t="shared" si="14"/>
        <v>25.849999999999994</v>
      </c>
      <c r="Q122">
        <f t="shared" si="15"/>
        <v>0.5668859649122806</v>
      </c>
      <c r="R122" t="s">
        <v>59</v>
      </c>
      <c r="S122" t="s">
        <v>39</v>
      </c>
    </row>
    <row r="123" spans="1:19">
      <c r="A123" t="s">
        <v>179</v>
      </c>
      <c r="B123">
        <v>46074</v>
      </c>
      <c r="C123" t="s">
        <v>20</v>
      </c>
      <c r="D123" t="s">
        <v>21</v>
      </c>
      <c r="E123" t="s">
        <v>46</v>
      </c>
      <c r="F123" t="s">
        <v>62</v>
      </c>
      <c r="G123" t="s">
        <v>63</v>
      </c>
      <c r="H123" t="s">
        <v>49</v>
      </c>
      <c r="I123" t="s">
        <v>274</v>
      </c>
      <c r="J123">
        <v>1</v>
      </c>
      <c r="K123">
        <v>42</v>
      </c>
      <c r="L123">
        <v>99</v>
      </c>
      <c r="M123">
        <v>0</v>
      </c>
      <c r="N123">
        <f t="shared" si="12"/>
        <v>99</v>
      </c>
      <c r="O123">
        <f t="shared" si="13"/>
        <v>42</v>
      </c>
      <c r="P123">
        <f t="shared" si="14"/>
        <v>57</v>
      </c>
      <c r="Q123">
        <f t="shared" si="15"/>
        <v>0.5757575757575758</v>
      </c>
      <c r="R123" t="s">
        <v>59</v>
      </c>
      <c r="S123" t="s">
        <v>55</v>
      </c>
    </row>
    <row r="124" spans="1:19">
      <c r="A124" t="s">
        <v>180</v>
      </c>
      <c r="B124">
        <v>46098</v>
      </c>
      <c r="C124" t="s">
        <v>33</v>
      </c>
      <c r="D124" t="s">
        <v>34</v>
      </c>
      <c r="E124" t="s">
        <v>22</v>
      </c>
      <c r="F124" t="s">
        <v>41</v>
      </c>
      <c r="G124" t="s">
        <v>42</v>
      </c>
      <c r="H124" t="s">
        <v>43</v>
      </c>
      <c r="I124" t="s">
        <v>275</v>
      </c>
      <c r="J124">
        <v>1</v>
      </c>
      <c r="K124">
        <v>19.75</v>
      </c>
      <c r="L124">
        <v>48</v>
      </c>
      <c r="M124">
        <v>0</v>
      </c>
      <c r="N124">
        <f t="shared" si="12"/>
        <v>48</v>
      </c>
      <c r="O124">
        <f t="shared" si="13"/>
        <v>19.75</v>
      </c>
      <c r="P124">
        <f t="shared" si="14"/>
        <v>28.25</v>
      </c>
      <c r="Q124">
        <f t="shared" si="15"/>
        <v>0.58854166666666663</v>
      </c>
      <c r="R124" t="s">
        <v>38</v>
      </c>
      <c r="S124" t="s">
        <v>44</v>
      </c>
    </row>
    <row r="125" spans="1:19">
      <c r="A125" t="s">
        <v>181</v>
      </c>
      <c r="B125">
        <v>46124</v>
      </c>
      <c r="C125" t="s">
        <v>20</v>
      </c>
      <c r="D125" t="s">
        <v>21</v>
      </c>
      <c r="E125" t="s">
        <v>22</v>
      </c>
      <c r="F125" t="s">
        <v>57</v>
      </c>
      <c r="G125" t="s">
        <v>58</v>
      </c>
      <c r="H125" t="s">
        <v>43</v>
      </c>
      <c r="I125" t="s">
        <v>274</v>
      </c>
      <c r="J125">
        <v>3</v>
      </c>
      <c r="K125">
        <v>20</v>
      </c>
      <c r="L125">
        <v>45</v>
      </c>
      <c r="M125">
        <v>0.05</v>
      </c>
      <c r="N125">
        <f t="shared" si="12"/>
        <v>128.25</v>
      </c>
      <c r="O125">
        <f t="shared" si="13"/>
        <v>60</v>
      </c>
      <c r="P125">
        <f t="shared" si="14"/>
        <v>68.25</v>
      </c>
      <c r="Q125">
        <f t="shared" si="15"/>
        <v>0.53216374269005851</v>
      </c>
      <c r="R125" t="s">
        <v>26</v>
      </c>
      <c r="S125" t="s">
        <v>27</v>
      </c>
    </row>
    <row r="126" spans="1:19">
      <c r="A126" t="s">
        <v>182</v>
      </c>
      <c r="B126">
        <v>46160</v>
      </c>
      <c r="C126" t="s">
        <v>33</v>
      </c>
      <c r="D126" t="s">
        <v>34</v>
      </c>
      <c r="E126" t="s">
        <v>22</v>
      </c>
      <c r="F126" t="s">
        <v>29</v>
      </c>
      <c r="G126" t="s">
        <v>30</v>
      </c>
      <c r="H126" t="s">
        <v>25</v>
      </c>
      <c r="I126" t="s">
        <v>276</v>
      </c>
      <c r="J126">
        <v>1</v>
      </c>
      <c r="K126">
        <v>14.5</v>
      </c>
      <c r="L126">
        <v>32</v>
      </c>
      <c r="M126">
        <v>0</v>
      </c>
      <c r="N126">
        <f t="shared" si="12"/>
        <v>32</v>
      </c>
      <c r="O126">
        <f t="shared" si="13"/>
        <v>14.5</v>
      </c>
      <c r="P126">
        <f t="shared" si="14"/>
        <v>17.5</v>
      </c>
      <c r="Q126">
        <f t="shared" si="15"/>
        <v>0.546875</v>
      </c>
      <c r="R126" t="s">
        <v>38</v>
      </c>
      <c r="S126" t="s">
        <v>39</v>
      </c>
    </row>
    <row r="127" spans="1:19">
      <c r="A127" t="s">
        <v>183</v>
      </c>
      <c r="B127">
        <v>46143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274</v>
      </c>
      <c r="J127">
        <v>1</v>
      </c>
      <c r="K127">
        <v>15.25</v>
      </c>
      <c r="L127">
        <v>34</v>
      </c>
      <c r="M127">
        <v>0.1</v>
      </c>
      <c r="N127">
        <f t="shared" si="12"/>
        <v>30.6</v>
      </c>
      <c r="O127">
        <f t="shared" si="13"/>
        <v>15.25</v>
      </c>
      <c r="P127">
        <f t="shared" si="14"/>
        <v>15.350000000000001</v>
      </c>
      <c r="Q127">
        <f t="shared" si="15"/>
        <v>0.50163398692810457</v>
      </c>
      <c r="R127" t="s">
        <v>31</v>
      </c>
      <c r="S127" t="s">
        <v>44</v>
      </c>
    </row>
    <row r="128" spans="1:19">
      <c r="A128" t="s">
        <v>184</v>
      </c>
      <c r="B128">
        <v>46127</v>
      </c>
      <c r="C128" t="s">
        <v>33</v>
      </c>
      <c r="D128" t="s">
        <v>34</v>
      </c>
      <c r="E128" t="s">
        <v>46</v>
      </c>
      <c r="F128" t="s">
        <v>84</v>
      </c>
      <c r="G128" t="s">
        <v>85</v>
      </c>
      <c r="H128" t="s">
        <v>49</v>
      </c>
      <c r="I128" t="s">
        <v>274</v>
      </c>
      <c r="J128">
        <v>1</v>
      </c>
      <c r="K128">
        <v>48</v>
      </c>
      <c r="L128">
        <v>119</v>
      </c>
      <c r="M128">
        <v>0</v>
      </c>
      <c r="N128">
        <f t="shared" si="12"/>
        <v>119</v>
      </c>
      <c r="O128">
        <f t="shared" si="13"/>
        <v>48</v>
      </c>
      <c r="P128">
        <f t="shared" si="14"/>
        <v>71</v>
      </c>
      <c r="Q128">
        <f t="shared" si="15"/>
        <v>0.59663865546218486</v>
      </c>
      <c r="R128" t="s">
        <v>59</v>
      </c>
      <c r="S128" t="s">
        <v>27</v>
      </c>
    </row>
    <row r="129" spans="1:19">
      <c r="A129" t="s">
        <v>185</v>
      </c>
      <c r="B129">
        <v>46083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275</v>
      </c>
      <c r="J129">
        <v>2</v>
      </c>
      <c r="K129">
        <v>15.25</v>
      </c>
      <c r="L129">
        <v>34</v>
      </c>
      <c r="M129">
        <v>0</v>
      </c>
      <c r="N129">
        <f t="shared" si="12"/>
        <v>68</v>
      </c>
      <c r="O129">
        <f t="shared" si="13"/>
        <v>30.5</v>
      </c>
      <c r="P129">
        <f t="shared" si="14"/>
        <v>37.5</v>
      </c>
      <c r="Q129">
        <f t="shared" si="15"/>
        <v>0.55147058823529416</v>
      </c>
      <c r="R129" t="s">
        <v>59</v>
      </c>
      <c r="S129" t="s">
        <v>27</v>
      </c>
    </row>
    <row r="130" spans="1:19">
      <c r="A130" t="s">
        <v>186</v>
      </c>
      <c r="B130">
        <v>46129</v>
      </c>
      <c r="C130" t="s">
        <v>20</v>
      </c>
      <c r="D130" t="s">
        <v>21</v>
      </c>
      <c r="E130" t="s">
        <v>46</v>
      </c>
      <c r="F130" t="s">
        <v>76</v>
      </c>
      <c r="G130" t="s">
        <v>77</v>
      </c>
      <c r="H130" t="s">
        <v>78</v>
      </c>
      <c r="I130" t="s">
        <v>274</v>
      </c>
      <c r="J130">
        <v>1</v>
      </c>
      <c r="K130">
        <v>9.5</v>
      </c>
      <c r="L130">
        <v>24</v>
      </c>
      <c r="M130">
        <v>0.05</v>
      </c>
      <c r="N130">
        <f t="shared" ref="N130:N161" si="16">J130*L130*(1-M130)</f>
        <v>22.799999999999997</v>
      </c>
      <c r="O130">
        <f t="shared" ref="O130:O151" si="17">J130*K130</f>
        <v>9.5</v>
      </c>
      <c r="P130">
        <f t="shared" ref="P130:P161" si="18">N130-O130</f>
        <v>13.299999999999997</v>
      </c>
      <c r="Q130">
        <f t="shared" ref="Q130:Q161" si="19">IF(N130=0,0,P130/N130)</f>
        <v>0.58333333333333326</v>
      </c>
      <c r="R130" t="s">
        <v>59</v>
      </c>
      <c r="S130" t="s">
        <v>44</v>
      </c>
    </row>
    <row r="131" spans="1:19">
      <c r="A131" t="s">
        <v>187</v>
      </c>
      <c r="B131">
        <v>46136</v>
      </c>
      <c r="C131" t="s">
        <v>20</v>
      </c>
      <c r="D131" t="s">
        <v>21</v>
      </c>
      <c r="E131" t="s">
        <v>46</v>
      </c>
      <c r="F131" t="s">
        <v>47</v>
      </c>
      <c r="G131" t="s">
        <v>48</v>
      </c>
      <c r="H131" t="s">
        <v>49</v>
      </c>
      <c r="I131" t="s">
        <v>274</v>
      </c>
      <c r="J131">
        <v>1</v>
      </c>
      <c r="K131">
        <v>38</v>
      </c>
      <c r="L131">
        <v>89</v>
      </c>
      <c r="M131">
        <v>0</v>
      </c>
      <c r="N131">
        <f t="shared" si="16"/>
        <v>89</v>
      </c>
      <c r="O131">
        <f t="shared" si="17"/>
        <v>38</v>
      </c>
      <c r="P131">
        <f t="shared" si="18"/>
        <v>51</v>
      </c>
      <c r="Q131">
        <f t="shared" si="19"/>
        <v>0.5730337078651685</v>
      </c>
      <c r="R131" t="s">
        <v>26</v>
      </c>
      <c r="S131" t="s">
        <v>39</v>
      </c>
    </row>
    <row r="132" spans="1:19">
      <c r="A132" t="s">
        <v>188</v>
      </c>
      <c r="B132">
        <v>46038</v>
      </c>
      <c r="C132" t="s">
        <v>33</v>
      </c>
      <c r="D132" t="s">
        <v>34</v>
      </c>
      <c r="E132" t="s">
        <v>46</v>
      </c>
      <c r="F132" t="s">
        <v>51</v>
      </c>
      <c r="G132" t="s">
        <v>52</v>
      </c>
      <c r="H132" t="s">
        <v>49</v>
      </c>
      <c r="I132" t="s">
        <v>275</v>
      </c>
      <c r="J132">
        <v>1</v>
      </c>
      <c r="K132">
        <v>62</v>
      </c>
      <c r="L132">
        <v>149</v>
      </c>
      <c r="M132">
        <v>0</v>
      </c>
      <c r="N132">
        <f t="shared" si="16"/>
        <v>149</v>
      </c>
      <c r="O132">
        <f t="shared" si="17"/>
        <v>62</v>
      </c>
      <c r="P132">
        <f t="shared" si="18"/>
        <v>87</v>
      </c>
      <c r="Q132">
        <f t="shared" si="19"/>
        <v>0.58389261744966447</v>
      </c>
      <c r="R132" t="s">
        <v>38</v>
      </c>
      <c r="S132" t="s">
        <v>44</v>
      </c>
    </row>
    <row r="133" spans="1:19">
      <c r="A133" t="s">
        <v>189</v>
      </c>
      <c r="B133">
        <v>46035</v>
      </c>
      <c r="C133" t="s">
        <v>20</v>
      </c>
      <c r="D133" t="s">
        <v>21</v>
      </c>
      <c r="E133" t="s">
        <v>22</v>
      </c>
      <c r="F133" t="s">
        <v>35</v>
      </c>
      <c r="G133" t="s">
        <v>36</v>
      </c>
      <c r="H133" t="s">
        <v>37</v>
      </c>
      <c r="I133" t="s">
        <v>276</v>
      </c>
      <c r="J133">
        <v>2</v>
      </c>
      <c r="K133">
        <v>18</v>
      </c>
      <c r="L133">
        <v>42</v>
      </c>
      <c r="M133">
        <v>0</v>
      </c>
      <c r="N133">
        <f t="shared" si="16"/>
        <v>84</v>
      </c>
      <c r="O133">
        <f t="shared" si="17"/>
        <v>36</v>
      </c>
      <c r="P133">
        <f t="shared" si="18"/>
        <v>48</v>
      </c>
      <c r="Q133">
        <f t="shared" si="19"/>
        <v>0.5714285714285714</v>
      </c>
      <c r="R133" t="s">
        <v>31</v>
      </c>
      <c r="S133" t="s">
        <v>44</v>
      </c>
    </row>
    <row r="134" spans="1:19">
      <c r="A134" t="s">
        <v>190</v>
      </c>
      <c r="B134">
        <v>46078</v>
      </c>
      <c r="C134" t="s">
        <v>20</v>
      </c>
      <c r="D134" t="s">
        <v>21</v>
      </c>
      <c r="E134" t="s">
        <v>46</v>
      </c>
      <c r="F134" t="s">
        <v>51</v>
      </c>
      <c r="G134" t="s">
        <v>52</v>
      </c>
      <c r="H134" t="s">
        <v>49</v>
      </c>
      <c r="I134" t="s">
        <v>276</v>
      </c>
      <c r="J134">
        <v>2</v>
      </c>
      <c r="K134">
        <v>62</v>
      </c>
      <c r="L134">
        <v>149</v>
      </c>
      <c r="M134">
        <v>0</v>
      </c>
      <c r="N134">
        <f t="shared" si="16"/>
        <v>298</v>
      </c>
      <c r="O134">
        <f t="shared" si="17"/>
        <v>124</v>
      </c>
      <c r="P134">
        <f t="shared" si="18"/>
        <v>174</v>
      </c>
      <c r="Q134">
        <f t="shared" si="19"/>
        <v>0.58389261744966447</v>
      </c>
      <c r="R134" t="s">
        <v>26</v>
      </c>
      <c r="S134" t="s">
        <v>39</v>
      </c>
    </row>
    <row r="135" spans="1:19">
      <c r="A135" t="s">
        <v>191</v>
      </c>
      <c r="B135">
        <v>46161</v>
      </c>
      <c r="C135" t="s">
        <v>20</v>
      </c>
      <c r="D135" t="s">
        <v>21</v>
      </c>
      <c r="E135" t="s">
        <v>22</v>
      </c>
      <c r="F135" t="s">
        <v>57</v>
      </c>
      <c r="G135" t="s">
        <v>58</v>
      </c>
      <c r="H135" t="s">
        <v>43</v>
      </c>
      <c r="I135" t="s">
        <v>274</v>
      </c>
      <c r="J135">
        <v>1</v>
      </c>
      <c r="K135">
        <v>20</v>
      </c>
      <c r="L135">
        <v>45</v>
      </c>
      <c r="M135">
        <v>0</v>
      </c>
      <c r="N135">
        <f t="shared" si="16"/>
        <v>45</v>
      </c>
      <c r="O135">
        <f t="shared" si="17"/>
        <v>20</v>
      </c>
      <c r="P135">
        <f t="shared" si="18"/>
        <v>25</v>
      </c>
      <c r="Q135">
        <f t="shared" si="19"/>
        <v>0.55555555555555558</v>
      </c>
      <c r="R135" t="s">
        <v>31</v>
      </c>
      <c r="S135" t="s">
        <v>44</v>
      </c>
    </row>
    <row r="136" spans="1:19">
      <c r="A136" t="s">
        <v>192</v>
      </c>
      <c r="B136">
        <v>46105</v>
      </c>
      <c r="C136" t="s">
        <v>20</v>
      </c>
      <c r="D136" t="s">
        <v>21</v>
      </c>
      <c r="E136" t="s">
        <v>46</v>
      </c>
      <c r="F136" t="s">
        <v>47</v>
      </c>
      <c r="G136" t="s">
        <v>48</v>
      </c>
      <c r="H136" t="s">
        <v>49</v>
      </c>
      <c r="I136" t="s">
        <v>276</v>
      </c>
      <c r="J136">
        <v>1</v>
      </c>
      <c r="K136">
        <v>38</v>
      </c>
      <c r="L136">
        <v>89</v>
      </c>
      <c r="M136">
        <v>0</v>
      </c>
      <c r="N136">
        <f t="shared" si="16"/>
        <v>89</v>
      </c>
      <c r="O136">
        <f t="shared" si="17"/>
        <v>38</v>
      </c>
      <c r="P136">
        <f t="shared" si="18"/>
        <v>51</v>
      </c>
      <c r="Q136">
        <f t="shared" si="19"/>
        <v>0.5730337078651685</v>
      </c>
      <c r="R136" t="s">
        <v>38</v>
      </c>
      <c r="S136" t="s">
        <v>44</v>
      </c>
    </row>
    <row r="137" spans="1:19">
      <c r="A137" t="s">
        <v>193</v>
      </c>
      <c r="B137">
        <v>46137</v>
      </c>
      <c r="C137" t="s">
        <v>33</v>
      </c>
      <c r="D137" t="s">
        <v>34</v>
      </c>
      <c r="E137" t="s">
        <v>22</v>
      </c>
      <c r="F137" t="s">
        <v>23</v>
      </c>
      <c r="G137" t="s">
        <v>24</v>
      </c>
      <c r="H137" t="s">
        <v>25</v>
      </c>
      <c r="I137" t="s">
        <v>275</v>
      </c>
      <c r="J137">
        <v>2</v>
      </c>
      <c r="K137">
        <v>15.25</v>
      </c>
      <c r="L137">
        <v>34</v>
      </c>
      <c r="M137">
        <v>0</v>
      </c>
      <c r="N137">
        <f t="shared" si="16"/>
        <v>68</v>
      </c>
      <c r="O137">
        <f t="shared" si="17"/>
        <v>30.5</v>
      </c>
      <c r="P137">
        <f t="shared" si="18"/>
        <v>37.5</v>
      </c>
      <c r="Q137">
        <f t="shared" si="19"/>
        <v>0.55147058823529416</v>
      </c>
      <c r="R137" t="s">
        <v>38</v>
      </c>
      <c r="S137" t="s">
        <v>55</v>
      </c>
    </row>
    <row r="138" spans="1:19">
      <c r="A138" t="s">
        <v>194</v>
      </c>
      <c r="B138">
        <v>46156</v>
      </c>
      <c r="C138" t="s">
        <v>20</v>
      </c>
      <c r="D138" t="s">
        <v>21</v>
      </c>
      <c r="E138" t="s">
        <v>46</v>
      </c>
      <c r="F138" t="s">
        <v>76</v>
      </c>
      <c r="G138" t="s">
        <v>77</v>
      </c>
      <c r="H138" t="s">
        <v>78</v>
      </c>
      <c r="I138" t="s">
        <v>274</v>
      </c>
      <c r="J138">
        <v>1</v>
      </c>
      <c r="K138">
        <v>9.5</v>
      </c>
      <c r="L138">
        <v>24</v>
      </c>
      <c r="M138">
        <v>0</v>
      </c>
      <c r="N138">
        <f t="shared" si="16"/>
        <v>24</v>
      </c>
      <c r="O138">
        <f t="shared" si="17"/>
        <v>9.5</v>
      </c>
      <c r="P138">
        <f t="shared" si="18"/>
        <v>14.5</v>
      </c>
      <c r="Q138">
        <f t="shared" si="19"/>
        <v>0.60416666666666663</v>
      </c>
      <c r="R138" t="s">
        <v>26</v>
      </c>
      <c r="S138" t="s">
        <v>27</v>
      </c>
    </row>
    <row r="139" spans="1:19">
      <c r="A139" t="s">
        <v>195</v>
      </c>
      <c r="B139">
        <v>46050</v>
      </c>
      <c r="C139" t="s">
        <v>33</v>
      </c>
      <c r="D139" t="s">
        <v>34</v>
      </c>
      <c r="E139" t="s">
        <v>46</v>
      </c>
      <c r="F139" t="s">
        <v>62</v>
      </c>
      <c r="G139" t="s">
        <v>63</v>
      </c>
      <c r="H139" t="s">
        <v>49</v>
      </c>
      <c r="I139" t="s">
        <v>275</v>
      </c>
      <c r="J139">
        <v>1</v>
      </c>
      <c r="K139">
        <v>42</v>
      </c>
      <c r="L139">
        <v>99</v>
      </c>
      <c r="M139">
        <v>0.1</v>
      </c>
      <c r="N139">
        <f t="shared" si="16"/>
        <v>89.100000000000009</v>
      </c>
      <c r="O139">
        <f t="shared" si="17"/>
        <v>42</v>
      </c>
      <c r="P139">
        <f t="shared" si="18"/>
        <v>47.100000000000009</v>
      </c>
      <c r="Q139">
        <f t="shared" si="19"/>
        <v>0.52861952861952866</v>
      </c>
      <c r="R139" t="s">
        <v>26</v>
      </c>
      <c r="S139" t="s">
        <v>39</v>
      </c>
    </row>
    <row r="140" spans="1:19">
      <c r="A140" t="s">
        <v>196</v>
      </c>
      <c r="B140">
        <v>46039</v>
      </c>
      <c r="C140" t="s">
        <v>20</v>
      </c>
      <c r="D140" t="s">
        <v>21</v>
      </c>
      <c r="E140" t="s">
        <v>46</v>
      </c>
      <c r="F140" t="s">
        <v>76</v>
      </c>
      <c r="G140" t="s">
        <v>77</v>
      </c>
      <c r="H140" t="s">
        <v>78</v>
      </c>
      <c r="I140" t="s">
        <v>274</v>
      </c>
      <c r="J140">
        <v>1</v>
      </c>
      <c r="K140">
        <v>9.5</v>
      </c>
      <c r="L140">
        <v>24</v>
      </c>
      <c r="M140">
        <v>0</v>
      </c>
      <c r="N140">
        <f t="shared" si="16"/>
        <v>24</v>
      </c>
      <c r="O140">
        <f t="shared" si="17"/>
        <v>9.5</v>
      </c>
      <c r="P140">
        <f t="shared" si="18"/>
        <v>14.5</v>
      </c>
      <c r="Q140">
        <f t="shared" si="19"/>
        <v>0.60416666666666663</v>
      </c>
      <c r="R140" t="s">
        <v>38</v>
      </c>
      <c r="S140" t="s">
        <v>39</v>
      </c>
    </row>
    <row r="141" spans="1:19">
      <c r="A141" t="s">
        <v>197</v>
      </c>
      <c r="B141">
        <v>46048</v>
      </c>
      <c r="C141" t="s">
        <v>33</v>
      </c>
      <c r="D141" t="s">
        <v>34</v>
      </c>
      <c r="E141" t="s">
        <v>46</v>
      </c>
      <c r="F141" t="s">
        <v>84</v>
      </c>
      <c r="G141" t="s">
        <v>85</v>
      </c>
      <c r="H141" t="s">
        <v>49</v>
      </c>
      <c r="I141" t="s">
        <v>276</v>
      </c>
      <c r="J141">
        <v>2</v>
      </c>
      <c r="K141">
        <v>48</v>
      </c>
      <c r="L141">
        <v>119</v>
      </c>
      <c r="M141">
        <v>0</v>
      </c>
      <c r="N141">
        <f t="shared" si="16"/>
        <v>238</v>
      </c>
      <c r="O141">
        <f t="shared" si="17"/>
        <v>96</v>
      </c>
      <c r="P141">
        <f t="shared" si="18"/>
        <v>142</v>
      </c>
      <c r="Q141">
        <f t="shared" si="19"/>
        <v>0.59663865546218486</v>
      </c>
      <c r="R141" t="s">
        <v>38</v>
      </c>
      <c r="S141" t="s">
        <v>27</v>
      </c>
    </row>
    <row r="142" spans="1:19">
      <c r="A142" t="s">
        <v>198</v>
      </c>
      <c r="B142">
        <v>46109</v>
      </c>
      <c r="C142" t="s">
        <v>33</v>
      </c>
      <c r="D142" t="s">
        <v>34</v>
      </c>
      <c r="E142" t="s">
        <v>22</v>
      </c>
      <c r="F142" t="s">
        <v>35</v>
      </c>
      <c r="G142" t="s">
        <v>36</v>
      </c>
      <c r="H142" t="s">
        <v>37</v>
      </c>
      <c r="I142" t="s">
        <v>275</v>
      </c>
      <c r="J142">
        <v>2</v>
      </c>
      <c r="K142">
        <v>18</v>
      </c>
      <c r="L142">
        <v>42</v>
      </c>
      <c r="M142">
        <v>0</v>
      </c>
      <c r="N142">
        <f t="shared" si="16"/>
        <v>84</v>
      </c>
      <c r="O142">
        <f t="shared" si="17"/>
        <v>36</v>
      </c>
      <c r="P142">
        <f t="shared" si="18"/>
        <v>48</v>
      </c>
      <c r="Q142">
        <f t="shared" si="19"/>
        <v>0.5714285714285714</v>
      </c>
      <c r="R142" t="s">
        <v>59</v>
      </c>
      <c r="S142" t="s">
        <v>27</v>
      </c>
    </row>
    <row r="143" spans="1:19">
      <c r="A143" t="s">
        <v>199</v>
      </c>
      <c r="B143">
        <v>46118</v>
      </c>
      <c r="C143" t="s">
        <v>33</v>
      </c>
      <c r="D143" t="s">
        <v>34</v>
      </c>
      <c r="E143" t="s">
        <v>46</v>
      </c>
      <c r="F143" t="s">
        <v>47</v>
      </c>
      <c r="G143" t="s">
        <v>48</v>
      </c>
      <c r="H143" t="s">
        <v>49</v>
      </c>
      <c r="I143" t="s">
        <v>275</v>
      </c>
      <c r="J143">
        <v>3</v>
      </c>
      <c r="K143">
        <v>38</v>
      </c>
      <c r="L143">
        <v>89</v>
      </c>
      <c r="M143">
        <v>0.05</v>
      </c>
      <c r="N143">
        <f t="shared" si="16"/>
        <v>253.64999999999998</v>
      </c>
      <c r="O143">
        <f t="shared" si="17"/>
        <v>114</v>
      </c>
      <c r="P143">
        <f t="shared" si="18"/>
        <v>139.64999999999998</v>
      </c>
      <c r="Q143">
        <f t="shared" si="19"/>
        <v>0.550561797752809</v>
      </c>
      <c r="R143" t="s">
        <v>26</v>
      </c>
      <c r="S143" t="s">
        <v>44</v>
      </c>
    </row>
    <row r="144" spans="1:19">
      <c r="A144" t="s">
        <v>200</v>
      </c>
      <c r="B144">
        <v>46133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276</v>
      </c>
      <c r="J144">
        <v>1</v>
      </c>
      <c r="K144">
        <v>15.25</v>
      </c>
      <c r="L144">
        <v>34</v>
      </c>
      <c r="M144">
        <v>0.05</v>
      </c>
      <c r="N144">
        <f t="shared" si="16"/>
        <v>32.299999999999997</v>
      </c>
      <c r="O144">
        <f t="shared" si="17"/>
        <v>15.25</v>
      </c>
      <c r="P144">
        <f t="shared" si="18"/>
        <v>17.049999999999997</v>
      </c>
      <c r="Q144">
        <f t="shared" si="19"/>
        <v>0.52786377708978327</v>
      </c>
      <c r="R144" t="s">
        <v>26</v>
      </c>
      <c r="S144" t="s">
        <v>39</v>
      </c>
    </row>
    <row r="145" spans="1:19">
      <c r="A145" t="s">
        <v>201</v>
      </c>
      <c r="B145">
        <v>46113</v>
      </c>
      <c r="C145" t="s">
        <v>33</v>
      </c>
      <c r="D145" t="s">
        <v>34</v>
      </c>
      <c r="E145" t="s">
        <v>22</v>
      </c>
      <c r="F145" t="s">
        <v>23</v>
      </c>
      <c r="G145" t="s">
        <v>24</v>
      </c>
      <c r="H145" t="s">
        <v>25</v>
      </c>
      <c r="I145" t="s">
        <v>274</v>
      </c>
      <c r="J145">
        <v>2</v>
      </c>
      <c r="K145">
        <v>15.25</v>
      </c>
      <c r="L145">
        <v>34</v>
      </c>
      <c r="M145">
        <v>0.1</v>
      </c>
      <c r="N145">
        <f t="shared" si="16"/>
        <v>61.2</v>
      </c>
      <c r="O145">
        <f t="shared" si="17"/>
        <v>30.5</v>
      </c>
      <c r="P145">
        <f t="shared" si="18"/>
        <v>30.700000000000003</v>
      </c>
      <c r="Q145">
        <f t="shared" si="19"/>
        <v>0.50163398692810457</v>
      </c>
      <c r="R145" t="s">
        <v>26</v>
      </c>
      <c r="S145" t="s">
        <v>39</v>
      </c>
    </row>
    <row r="146" spans="1:19">
      <c r="A146" t="s">
        <v>202</v>
      </c>
      <c r="B146">
        <v>46113</v>
      </c>
      <c r="C146" t="s">
        <v>33</v>
      </c>
      <c r="D146" t="s">
        <v>34</v>
      </c>
      <c r="E146" t="s">
        <v>46</v>
      </c>
      <c r="F146" t="s">
        <v>76</v>
      </c>
      <c r="G146" t="s">
        <v>77</v>
      </c>
      <c r="H146" t="s">
        <v>78</v>
      </c>
      <c r="I146" t="s">
        <v>276</v>
      </c>
      <c r="J146">
        <v>1</v>
      </c>
      <c r="K146">
        <v>9.5</v>
      </c>
      <c r="L146">
        <v>24</v>
      </c>
      <c r="M146">
        <v>0</v>
      </c>
      <c r="N146">
        <f t="shared" si="16"/>
        <v>24</v>
      </c>
      <c r="O146">
        <f t="shared" si="17"/>
        <v>9.5</v>
      </c>
      <c r="P146">
        <f t="shared" si="18"/>
        <v>14.5</v>
      </c>
      <c r="Q146">
        <f t="shared" si="19"/>
        <v>0.60416666666666663</v>
      </c>
      <c r="R146" t="s">
        <v>38</v>
      </c>
      <c r="S146" t="s">
        <v>55</v>
      </c>
    </row>
    <row r="147" spans="1:19">
      <c r="A147" t="s">
        <v>203</v>
      </c>
      <c r="B147">
        <v>46117</v>
      </c>
      <c r="C147" t="s">
        <v>33</v>
      </c>
      <c r="D147" t="s">
        <v>34</v>
      </c>
      <c r="E147" t="s">
        <v>22</v>
      </c>
      <c r="F147" t="s">
        <v>23</v>
      </c>
      <c r="G147" t="s">
        <v>24</v>
      </c>
      <c r="H147" t="s">
        <v>25</v>
      </c>
      <c r="I147" t="s">
        <v>276</v>
      </c>
      <c r="J147">
        <v>1</v>
      </c>
      <c r="K147">
        <v>15.25</v>
      </c>
      <c r="L147">
        <v>34</v>
      </c>
      <c r="M147">
        <v>0</v>
      </c>
      <c r="N147">
        <f t="shared" si="16"/>
        <v>34</v>
      </c>
      <c r="O147">
        <f t="shared" si="17"/>
        <v>15.25</v>
      </c>
      <c r="P147">
        <f t="shared" si="18"/>
        <v>18.75</v>
      </c>
      <c r="Q147">
        <f t="shared" si="19"/>
        <v>0.55147058823529416</v>
      </c>
      <c r="R147" t="s">
        <v>38</v>
      </c>
      <c r="S147" t="s">
        <v>44</v>
      </c>
    </row>
    <row r="148" spans="1:19">
      <c r="A148" t="s">
        <v>204</v>
      </c>
      <c r="B148">
        <v>46030</v>
      </c>
      <c r="C148" t="s">
        <v>33</v>
      </c>
      <c r="D148" t="s">
        <v>34</v>
      </c>
      <c r="E148" t="s">
        <v>46</v>
      </c>
      <c r="F148" t="s">
        <v>76</v>
      </c>
      <c r="G148" t="s">
        <v>77</v>
      </c>
      <c r="H148" t="s">
        <v>78</v>
      </c>
      <c r="I148" t="s">
        <v>276</v>
      </c>
      <c r="J148">
        <v>1</v>
      </c>
      <c r="K148">
        <v>9.5</v>
      </c>
      <c r="L148">
        <v>24</v>
      </c>
      <c r="M148">
        <v>0.05</v>
      </c>
      <c r="N148">
        <f t="shared" si="16"/>
        <v>22.799999999999997</v>
      </c>
      <c r="O148">
        <f t="shared" si="17"/>
        <v>9.5</v>
      </c>
      <c r="P148">
        <f t="shared" si="18"/>
        <v>13.299999999999997</v>
      </c>
      <c r="Q148">
        <f t="shared" si="19"/>
        <v>0.58333333333333326</v>
      </c>
      <c r="R148" t="s">
        <v>59</v>
      </c>
      <c r="S148" t="s">
        <v>39</v>
      </c>
    </row>
    <row r="149" spans="1:19">
      <c r="A149" t="s">
        <v>205</v>
      </c>
      <c r="B149">
        <v>46059</v>
      </c>
      <c r="C149" t="s">
        <v>20</v>
      </c>
      <c r="D149" t="s">
        <v>21</v>
      </c>
      <c r="E149" t="s">
        <v>22</v>
      </c>
      <c r="F149" t="s">
        <v>29</v>
      </c>
      <c r="G149" t="s">
        <v>30</v>
      </c>
      <c r="H149" t="s">
        <v>25</v>
      </c>
      <c r="I149" t="s">
        <v>276</v>
      </c>
      <c r="J149">
        <v>1</v>
      </c>
      <c r="K149">
        <v>14.5</v>
      </c>
      <c r="L149">
        <v>32</v>
      </c>
      <c r="M149">
        <v>0</v>
      </c>
      <c r="N149">
        <f t="shared" si="16"/>
        <v>32</v>
      </c>
      <c r="O149">
        <f t="shared" si="17"/>
        <v>14.5</v>
      </c>
      <c r="P149">
        <f t="shared" si="18"/>
        <v>17.5</v>
      </c>
      <c r="Q149">
        <f t="shared" si="19"/>
        <v>0.546875</v>
      </c>
      <c r="R149" t="s">
        <v>26</v>
      </c>
      <c r="S149" t="s">
        <v>44</v>
      </c>
    </row>
    <row r="150" spans="1:19">
      <c r="A150" t="s">
        <v>206</v>
      </c>
      <c r="B150">
        <v>46119</v>
      </c>
      <c r="C150" t="s">
        <v>20</v>
      </c>
      <c r="D150" t="s">
        <v>21</v>
      </c>
      <c r="E150" t="s">
        <v>46</v>
      </c>
      <c r="F150" t="s">
        <v>51</v>
      </c>
      <c r="G150" t="s">
        <v>52</v>
      </c>
      <c r="H150" t="s">
        <v>49</v>
      </c>
      <c r="I150" t="s">
        <v>274</v>
      </c>
      <c r="J150">
        <v>1</v>
      </c>
      <c r="K150">
        <v>62</v>
      </c>
      <c r="L150">
        <v>149</v>
      </c>
      <c r="M150">
        <v>0</v>
      </c>
      <c r="N150">
        <f t="shared" si="16"/>
        <v>149</v>
      </c>
      <c r="O150">
        <f t="shared" si="17"/>
        <v>62</v>
      </c>
      <c r="P150">
        <f t="shared" si="18"/>
        <v>87</v>
      </c>
      <c r="Q150">
        <f t="shared" si="19"/>
        <v>0.58389261744966447</v>
      </c>
      <c r="R150" t="s">
        <v>59</v>
      </c>
      <c r="S150" t="s">
        <v>39</v>
      </c>
    </row>
    <row r="151" spans="1:19">
      <c r="A151" t="s">
        <v>207</v>
      </c>
      <c r="B151">
        <v>46036</v>
      </c>
      <c r="C151" t="s">
        <v>20</v>
      </c>
      <c r="D151" t="s">
        <v>21</v>
      </c>
      <c r="E151" t="s">
        <v>46</v>
      </c>
      <c r="F151" t="s">
        <v>76</v>
      </c>
      <c r="G151" t="s">
        <v>77</v>
      </c>
      <c r="H151" t="s">
        <v>78</v>
      </c>
      <c r="I151" t="s">
        <v>274</v>
      </c>
      <c r="J151">
        <v>1</v>
      </c>
      <c r="K151">
        <v>9.5</v>
      </c>
      <c r="L151">
        <v>24</v>
      </c>
      <c r="M151">
        <v>0.05</v>
      </c>
      <c r="N151">
        <f t="shared" si="16"/>
        <v>22.799999999999997</v>
      </c>
      <c r="O151">
        <f t="shared" si="17"/>
        <v>9.5</v>
      </c>
      <c r="P151">
        <f t="shared" si="18"/>
        <v>13.299999999999997</v>
      </c>
      <c r="Q151">
        <f t="shared" si="19"/>
        <v>0.58333333333333326</v>
      </c>
      <c r="R151" t="s">
        <v>26</v>
      </c>
      <c r="S15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/>
  </sheetViews>
  <sheetFormatPr baseColWidth="10" defaultColWidth="8.83203125" defaultRowHeight="15"/>
  <cols>
    <col min="1" max="1" width="11.83203125" customWidth="1"/>
    <col min="2" max="2" width="7.5" customWidth="1"/>
    <col min="3" max="3" width="24" customWidth="1"/>
    <col min="4" max="4" width="10" customWidth="1"/>
    <col min="5" max="5" width="7.33203125" customWidth="1"/>
    <col min="6" max="6" width="10.6640625" customWidth="1"/>
    <col min="7" max="7" width="12.33203125" customWidth="1"/>
    <col min="8" max="8" width="14.33203125" customWidth="1"/>
    <col min="9" max="9" width="7.6640625" customWidth="1"/>
  </cols>
  <sheetData>
    <row r="1" spans="1:26" ht="37.25" customHeight="1">
      <c r="A1" s="1" t="s">
        <v>5</v>
      </c>
      <c r="B1" s="1" t="s">
        <v>4</v>
      </c>
      <c r="C1" s="1" t="s">
        <v>6</v>
      </c>
      <c r="D1" s="1" t="s">
        <v>7</v>
      </c>
      <c r="E1" s="1" t="s">
        <v>208</v>
      </c>
      <c r="F1" s="7" t="s">
        <v>10</v>
      </c>
      <c r="G1" s="7" t="s">
        <v>11</v>
      </c>
      <c r="H1" s="1" t="s">
        <v>209</v>
      </c>
      <c r="I1" s="1" t="s">
        <v>210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29</v>
      </c>
      <c r="B2" t="s">
        <v>22</v>
      </c>
      <c r="C2" t="s">
        <v>30</v>
      </c>
      <c r="D2" t="s">
        <v>25</v>
      </c>
      <c r="E2" t="s">
        <v>211</v>
      </c>
      <c r="F2">
        <v>14.5</v>
      </c>
      <c r="G2">
        <v>32</v>
      </c>
      <c r="H2" t="s">
        <v>212</v>
      </c>
      <c r="I2" t="s">
        <v>213</v>
      </c>
    </row>
    <row r="3" spans="1:26">
      <c r="A3" t="s">
        <v>23</v>
      </c>
      <c r="B3" t="s">
        <v>22</v>
      </c>
      <c r="C3" t="s">
        <v>24</v>
      </c>
      <c r="D3" t="s">
        <v>25</v>
      </c>
      <c r="E3" t="s">
        <v>211</v>
      </c>
      <c r="F3">
        <v>15.25</v>
      </c>
      <c r="G3">
        <v>34</v>
      </c>
      <c r="H3" t="s">
        <v>212</v>
      </c>
      <c r="I3" t="s">
        <v>213</v>
      </c>
    </row>
    <row r="4" spans="1:26">
      <c r="A4" t="s">
        <v>57</v>
      </c>
      <c r="B4" t="s">
        <v>22</v>
      </c>
      <c r="C4" t="s">
        <v>58</v>
      </c>
      <c r="D4" t="s">
        <v>43</v>
      </c>
      <c r="E4" t="s">
        <v>214</v>
      </c>
      <c r="F4">
        <v>20</v>
      </c>
      <c r="G4">
        <v>45</v>
      </c>
      <c r="H4" t="s">
        <v>212</v>
      </c>
      <c r="I4" t="s">
        <v>213</v>
      </c>
    </row>
    <row r="5" spans="1:26">
      <c r="A5" t="s">
        <v>35</v>
      </c>
      <c r="B5" t="s">
        <v>22</v>
      </c>
      <c r="C5" t="s">
        <v>36</v>
      </c>
      <c r="D5" t="s">
        <v>37</v>
      </c>
      <c r="E5" t="s">
        <v>215</v>
      </c>
      <c r="F5">
        <v>18</v>
      </c>
      <c r="G5">
        <v>42</v>
      </c>
      <c r="H5" t="s">
        <v>212</v>
      </c>
      <c r="I5" t="s">
        <v>213</v>
      </c>
    </row>
    <row r="6" spans="1:26">
      <c r="A6" t="s">
        <v>41</v>
      </c>
      <c r="B6" t="s">
        <v>22</v>
      </c>
      <c r="C6" t="s">
        <v>42</v>
      </c>
      <c r="D6" t="s">
        <v>43</v>
      </c>
      <c r="E6" t="s">
        <v>216</v>
      </c>
      <c r="F6">
        <v>19.75</v>
      </c>
      <c r="G6">
        <v>48</v>
      </c>
      <c r="H6" t="s">
        <v>212</v>
      </c>
      <c r="I6" t="s">
        <v>213</v>
      </c>
    </row>
    <row r="7" spans="1:26">
      <c r="A7" t="s">
        <v>47</v>
      </c>
      <c r="B7" t="s">
        <v>46</v>
      </c>
      <c r="C7" t="s">
        <v>48</v>
      </c>
      <c r="D7" t="s">
        <v>49</v>
      </c>
      <c r="E7" t="s">
        <v>217</v>
      </c>
      <c r="F7">
        <v>38</v>
      </c>
      <c r="G7">
        <v>89</v>
      </c>
      <c r="H7" t="s">
        <v>218</v>
      </c>
      <c r="I7" t="s">
        <v>213</v>
      </c>
    </row>
    <row r="8" spans="1:26">
      <c r="A8" t="s">
        <v>62</v>
      </c>
      <c r="B8" t="s">
        <v>46</v>
      </c>
      <c r="C8" t="s">
        <v>63</v>
      </c>
      <c r="D8" t="s">
        <v>49</v>
      </c>
      <c r="E8" t="s">
        <v>219</v>
      </c>
      <c r="F8">
        <v>42</v>
      </c>
      <c r="G8">
        <v>99</v>
      </c>
      <c r="H8" t="s">
        <v>218</v>
      </c>
      <c r="I8" t="s">
        <v>213</v>
      </c>
    </row>
    <row r="9" spans="1:26">
      <c r="A9" t="s">
        <v>84</v>
      </c>
      <c r="B9" t="s">
        <v>46</v>
      </c>
      <c r="C9" t="s">
        <v>85</v>
      </c>
      <c r="D9" t="s">
        <v>49</v>
      </c>
      <c r="E9" t="s">
        <v>220</v>
      </c>
      <c r="F9">
        <v>48</v>
      </c>
      <c r="G9">
        <v>119</v>
      </c>
      <c r="H9" t="s">
        <v>218</v>
      </c>
      <c r="I9" t="s">
        <v>213</v>
      </c>
    </row>
    <row r="10" spans="1:26">
      <c r="A10" t="s">
        <v>51</v>
      </c>
      <c r="B10" t="s">
        <v>46</v>
      </c>
      <c r="C10" t="s">
        <v>52</v>
      </c>
      <c r="D10" t="s">
        <v>49</v>
      </c>
      <c r="E10" t="s">
        <v>221</v>
      </c>
      <c r="F10">
        <v>62</v>
      </c>
      <c r="G10">
        <v>149</v>
      </c>
      <c r="H10" t="s">
        <v>218</v>
      </c>
      <c r="I10" t="s">
        <v>213</v>
      </c>
    </row>
    <row r="11" spans="1:26">
      <c r="A11" t="s">
        <v>76</v>
      </c>
      <c r="B11" t="s">
        <v>46</v>
      </c>
      <c r="C11" t="s">
        <v>77</v>
      </c>
      <c r="D11" t="s">
        <v>78</v>
      </c>
      <c r="E11" t="s">
        <v>222</v>
      </c>
      <c r="F11">
        <v>9.5</v>
      </c>
      <c r="G11">
        <v>24</v>
      </c>
      <c r="H11" t="s">
        <v>218</v>
      </c>
      <c r="I11" t="s">
        <v>213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workbookViewId="0"/>
  </sheetViews>
  <sheetFormatPr baseColWidth="10" defaultColWidth="8.83203125" defaultRowHeight="15"/>
  <cols>
    <col min="1" max="1" width="20.83203125" customWidth="1"/>
    <col min="2" max="2" width="9.6640625" customWidth="1"/>
    <col min="3" max="3" width="28" customWidth="1"/>
    <col min="4" max="4" width="7.5" customWidth="1"/>
    <col min="5" max="5" width="11.83203125" customWidth="1"/>
    <col min="6" max="6" width="24" customWidth="1"/>
    <col min="7" max="7" width="10" customWidth="1"/>
    <col min="8" max="8" width="15" customWidth="1"/>
    <col min="9" max="9" width="15.1640625" customWidth="1"/>
    <col min="10" max="10" width="11.5" customWidth="1"/>
    <col min="11" max="12" width="14.33203125" customWidth="1"/>
    <col min="13" max="13" width="26.33203125" customWidth="1"/>
    <col min="14" max="14" width="13" customWidth="1"/>
    <col min="15" max="15" width="19" customWidth="1"/>
  </cols>
  <sheetData>
    <row r="1" spans="1:26" ht="37.25" customHeight="1">
      <c r="A1" s="1" t="s">
        <v>223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224</v>
      </c>
      <c r="I1" s="1" t="s">
        <v>225</v>
      </c>
      <c r="J1" s="1" t="s">
        <v>9</v>
      </c>
      <c r="K1" s="1" t="s">
        <v>226</v>
      </c>
      <c r="L1" s="1" t="s">
        <v>227</v>
      </c>
      <c r="M1" s="1" t="s">
        <v>228</v>
      </c>
      <c r="N1" s="1" t="s">
        <v>229</v>
      </c>
      <c r="O1" s="8" t="s">
        <v>230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231</v>
      </c>
      <c r="B2" t="s">
        <v>20</v>
      </c>
      <c r="C2" t="s">
        <v>21</v>
      </c>
      <c r="D2" t="s">
        <v>22</v>
      </c>
      <c r="E2" t="s">
        <v>29</v>
      </c>
      <c r="F2" t="s">
        <v>30</v>
      </c>
      <c r="G2" t="s">
        <v>25</v>
      </c>
      <c r="H2">
        <v>24</v>
      </c>
      <c r="I2">
        <v>26</v>
      </c>
      <c r="J2">
        <f>SUMIFS(Sales_Transactions!$J:$J,Sales_Transactions!$C:$C,B2,Sales_Transactions!$F:$F,E2)</f>
        <v>9</v>
      </c>
      <c r="K2">
        <f t="shared" ref="K2:K21" si="0">H2+I2-J2</f>
        <v>41</v>
      </c>
      <c r="L2">
        <v>8</v>
      </c>
      <c r="M2">
        <v>20</v>
      </c>
      <c r="N2" t="str">
        <f t="shared" ref="N2:N21" si="1">IF(K2&lt;=L2,"Reorder Needed",IF(K2&lt;=L2*1.5,"Watch","Healthy"))</f>
        <v>Healthy</v>
      </c>
      <c r="O2">
        <v>46128</v>
      </c>
    </row>
    <row r="3" spans="1:26">
      <c r="A3" t="s">
        <v>232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29</v>
      </c>
      <c r="I3">
        <v>19</v>
      </c>
      <c r="J3">
        <f>SUMIFS(Sales_Transactions!$J:$J,Sales_Transactions!$C:$C,B3,Sales_Transactions!$F:$F,E3)</f>
        <v>10</v>
      </c>
      <c r="K3">
        <f t="shared" si="0"/>
        <v>38</v>
      </c>
      <c r="L3">
        <v>8</v>
      </c>
      <c r="M3">
        <v>20</v>
      </c>
      <c r="N3" t="str">
        <f t="shared" si="1"/>
        <v>Healthy</v>
      </c>
      <c r="O3">
        <v>46121</v>
      </c>
    </row>
    <row r="4" spans="1:26">
      <c r="A4" t="s">
        <v>233</v>
      </c>
      <c r="B4" t="s">
        <v>20</v>
      </c>
      <c r="C4" t="s">
        <v>21</v>
      </c>
      <c r="D4" t="s">
        <v>22</v>
      </c>
      <c r="E4" t="s">
        <v>57</v>
      </c>
      <c r="F4" t="s">
        <v>58</v>
      </c>
      <c r="G4" t="s">
        <v>43</v>
      </c>
      <c r="H4">
        <v>16</v>
      </c>
      <c r="I4">
        <v>29</v>
      </c>
      <c r="J4">
        <f>SUMIFS(Sales_Transactions!$J:$J,Sales_Transactions!$C:$C,B4,Sales_Transactions!$F:$F,E4)</f>
        <v>7</v>
      </c>
      <c r="K4">
        <f t="shared" si="0"/>
        <v>38</v>
      </c>
      <c r="L4">
        <v>8</v>
      </c>
      <c r="M4">
        <v>20</v>
      </c>
      <c r="N4" t="str">
        <f t="shared" si="1"/>
        <v>Healthy</v>
      </c>
      <c r="O4">
        <v>46146</v>
      </c>
    </row>
    <row r="5" spans="1:26">
      <c r="A5" t="s">
        <v>234</v>
      </c>
      <c r="B5" t="s">
        <v>20</v>
      </c>
      <c r="C5" t="s">
        <v>21</v>
      </c>
      <c r="D5" t="s">
        <v>22</v>
      </c>
      <c r="E5" t="s">
        <v>35</v>
      </c>
      <c r="F5" t="s">
        <v>36</v>
      </c>
      <c r="G5" t="s">
        <v>37</v>
      </c>
      <c r="H5">
        <v>21</v>
      </c>
      <c r="I5">
        <v>18</v>
      </c>
      <c r="J5">
        <f>SUMIFS(Sales_Transactions!$J:$J,Sales_Transactions!$C:$C,B5,Sales_Transactions!$F:$F,E5)</f>
        <v>10</v>
      </c>
      <c r="K5">
        <f t="shared" si="0"/>
        <v>29</v>
      </c>
      <c r="L5">
        <v>8</v>
      </c>
      <c r="M5">
        <v>20</v>
      </c>
      <c r="N5" t="str">
        <f t="shared" si="1"/>
        <v>Healthy</v>
      </c>
      <c r="O5">
        <v>46032</v>
      </c>
    </row>
    <row r="6" spans="1:26">
      <c r="A6" t="s">
        <v>235</v>
      </c>
      <c r="B6" t="s">
        <v>20</v>
      </c>
      <c r="C6" t="s">
        <v>21</v>
      </c>
      <c r="D6" t="s">
        <v>22</v>
      </c>
      <c r="E6" t="s">
        <v>41</v>
      </c>
      <c r="F6" t="s">
        <v>42</v>
      </c>
      <c r="G6" t="s">
        <v>43</v>
      </c>
      <c r="H6">
        <v>31</v>
      </c>
      <c r="I6">
        <v>26</v>
      </c>
      <c r="J6">
        <f>SUMIFS(Sales_Transactions!$J:$J,Sales_Transactions!$C:$C,B6,Sales_Transactions!$F:$F,E6)</f>
        <v>7</v>
      </c>
      <c r="K6">
        <f t="shared" si="0"/>
        <v>50</v>
      </c>
      <c r="L6">
        <v>8</v>
      </c>
      <c r="M6">
        <v>20</v>
      </c>
      <c r="N6" t="str">
        <f t="shared" si="1"/>
        <v>Healthy</v>
      </c>
      <c r="O6">
        <v>46158</v>
      </c>
    </row>
    <row r="7" spans="1:26">
      <c r="A7" t="s">
        <v>236</v>
      </c>
      <c r="B7" t="s">
        <v>20</v>
      </c>
      <c r="C7" t="s">
        <v>21</v>
      </c>
      <c r="D7" t="s">
        <v>46</v>
      </c>
      <c r="E7" t="s">
        <v>47</v>
      </c>
      <c r="F7" t="s">
        <v>48</v>
      </c>
      <c r="G7" t="s">
        <v>49</v>
      </c>
      <c r="H7">
        <v>11</v>
      </c>
      <c r="I7">
        <v>6</v>
      </c>
      <c r="J7">
        <f>SUMIFS(Sales_Transactions!$J:$J,Sales_Transactions!$C:$C,B7,Sales_Transactions!$F:$F,E7)</f>
        <v>10</v>
      </c>
      <c r="K7">
        <f t="shared" si="0"/>
        <v>7</v>
      </c>
      <c r="L7">
        <v>3</v>
      </c>
      <c r="M7">
        <v>6</v>
      </c>
      <c r="N7" t="str">
        <f t="shared" si="1"/>
        <v>Healthy</v>
      </c>
      <c r="O7">
        <v>46030</v>
      </c>
    </row>
    <row r="8" spans="1:26">
      <c r="A8" t="s">
        <v>237</v>
      </c>
      <c r="B8" t="s">
        <v>20</v>
      </c>
      <c r="C8" t="s">
        <v>21</v>
      </c>
      <c r="D8" t="s">
        <v>46</v>
      </c>
      <c r="E8" t="s">
        <v>62</v>
      </c>
      <c r="F8" t="s">
        <v>63</v>
      </c>
      <c r="G8" t="s">
        <v>49</v>
      </c>
      <c r="H8">
        <v>9</v>
      </c>
      <c r="I8">
        <v>2</v>
      </c>
      <c r="J8">
        <f>SUMIFS(Sales_Transactions!$J:$J,Sales_Transactions!$C:$C,B8,Sales_Transactions!$F:$F,E8)</f>
        <v>4</v>
      </c>
      <c r="K8">
        <f t="shared" si="0"/>
        <v>7</v>
      </c>
      <c r="L8">
        <v>3</v>
      </c>
      <c r="M8">
        <v>6</v>
      </c>
      <c r="N8" t="str">
        <f t="shared" si="1"/>
        <v>Healthy</v>
      </c>
      <c r="O8">
        <v>46029</v>
      </c>
    </row>
    <row r="9" spans="1:26">
      <c r="A9" t="s">
        <v>238</v>
      </c>
      <c r="B9" t="s">
        <v>20</v>
      </c>
      <c r="C9" t="s">
        <v>21</v>
      </c>
      <c r="D9" t="s">
        <v>46</v>
      </c>
      <c r="E9" t="s">
        <v>84</v>
      </c>
      <c r="F9" t="s">
        <v>85</v>
      </c>
      <c r="G9" t="s">
        <v>49</v>
      </c>
      <c r="H9">
        <v>7</v>
      </c>
      <c r="I9">
        <v>5</v>
      </c>
      <c r="J9">
        <f>SUMIFS(Sales_Transactions!$J:$J,Sales_Transactions!$C:$C,B9,Sales_Transactions!$F:$F,E9)</f>
        <v>7</v>
      </c>
      <c r="K9">
        <f t="shared" si="0"/>
        <v>5</v>
      </c>
      <c r="L9">
        <v>3</v>
      </c>
      <c r="M9">
        <v>6</v>
      </c>
      <c r="N9" t="str">
        <f t="shared" si="1"/>
        <v>Healthy</v>
      </c>
      <c r="O9">
        <v>46062</v>
      </c>
    </row>
    <row r="10" spans="1:26">
      <c r="A10" t="s">
        <v>239</v>
      </c>
      <c r="B10" t="s">
        <v>20</v>
      </c>
      <c r="C10" t="s">
        <v>21</v>
      </c>
      <c r="D10" t="s">
        <v>46</v>
      </c>
      <c r="E10" t="s">
        <v>51</v>
      </c>
      <c r="F10" t="s">
        <v>52</v>
      </c>
      <c r="G10" t="s">
        <v>49</v>
      </c>
      <c r="H10">
        <v>7</v>
      </c>
      <c r="I10">
        <v>7</v>
      </c>
      <c r="J10">
        <f>SUMIFS(Sales_Transactions!$J:$J,Sales_Transactions!$C:$C,B10,Sales_Transactions!$F:$F,E10)</f>
        <v>12</v>
      </c>
      <c r="K10">
        <f t="shared" si="0"/>
        <v>2</v>
      </c>
      <c r="L10">
        <v>3</v>
      </c>
      <c r="M10">
        <v>6</v>
      </c>
      <c r="N10" t="str">
        <f t="shared" si="1"/>
        <v>Reorder Needed</v>
      </c>
      <c r="O10">
        <v>46023</v>
      </c>
    </row>
    <row r="11" spans="1:26">
      <c r="A11" t="s">
        <v>240</v>
      </c>
      <c r="B11" t="s">
        <v>20</v>
      </c>
      <c r="C11" t="s">
        <v>21</v>
      </c>
      <c r="D11" t="s">
        <v>46</v>
      </c>
      <c r="E11" t="s">
        <v>76</v>
      </c>
      <c r="F11" t="s">
        <v>77</v>
      </c>
      <c r="G11" t="s">
        <v>78</v>
      </c>
      <c r="H11">
        <v>10</v>
      </c>
      <c r="I11">
        <v>8</v>
      </c>
      <c r="J11">
        <f>SUMIFS(Sales_Transactions!$J:$J,Sales_Transactions!$C:$C,B11,Sales_Transactions!$F:$F,E11)</f>
        <v>8</v>
      </c>
      <c r="K11">
        <f t="shared" si="0"/>
        <v>10</v>
      </c>
      <c r="L11">
        <v>3</v>
      </c>
      <c r="M11">
        <v>6</v>
      </c>
      <c r="N11" t="str">
        <f t="shared" si="1"/>
        <v>Healthy</v>
      </c>
      <c r="O11">
        <v>46058</v>
      </c>
    </row>
    <row r="12" spans="1:26">
      <c r="A12" t="s">
        <v>241</v>
      </c>
      <c r="B12" t="s">
        <v>33</v>
      </c>
      <c r="C12" t="s">
        <v>34</v>
      </c>
      <c r="D12" t="s">
        <v>22</v>
      </c>
      <c r="E12" t="s">
        <v>29</v>
      </c>
      <c r="F12" t="s">
        <v>30</v>
      </c>
      <c r="G12" t="s">
        <v>25</v>
      </c>
      <c r="H12">
        <v>22</v>
      </c>
      <c r="I12">
        <v>22</v>
      </c>
      <c r="J12">
        <f>SUMIFS(Sales_Transactions!$J:$J,Sales_Transactions!$C:$C,B12,Sales_Transactions!$F:$F,E12)</f>
        <v>4</v>
      </c>
      <c r="K12">
        <f t="shared" si="0"/>
        <v>40</v>
      </c>
      <c r="L12">
        <v>8</v>
      </c>
      <c r="M12">
        <v>20</v>
      </c>
      <c r="N12" t="str">
        <f t="shared" si="1"/>
        <v>Healthy</v>
      </c>
      <c r="O12">
        <v>46070</v>
      </c>
    </row>
    <row r="13" spans="1:26">
      <c r="A13" t="s">
        <v>242</v>
      </c>
      <c r="B13" t="s">
        <v>33</v>
      </c>
      <c r="C13" t="s">
        <v>34</v>
      </c>
      <c r="D13" t="s">
        <v>22</v>
      </c>
      <c r="E13" t="s">
        <v>23</v>
      </c>
      <c r="F13" t="s">
        <v>24</v>
      </c>
      <c r="G13" t="s">
        <v>25</v>
      </c>
      <c r="H13">
        <v>27</v>
      </c>
      <c r="I13">
        <v>26</v>
      </c>
      <c r="J13">
        <f>SUMIFS(Sales_Transactions!$J:$J,Sales_Transactions!$C:$C,B13,Sales_Transactions!$F:$F,E13)</f>
        <v>13</v>
      </c>
      <c r="K13">
        <f t="shared" si="0"/>
        <v>40</v>
      </c>
      <c r="L13">
        <v>8</v>
      </c>
      <c r="M13">
        <v>20</v>
      </c>
      <c r="N13" t="str">
        <f t="shared" si="1"/>
        <v>Healthy</v>
      </c>
      <c r="O13">
        <v>46084</v>
      </c>
    </row>
    <row r="14" spans="1:26">
      <c r="A14" t="s">
        <v>243</v>
      </c>
      <c r="B14" t="s">
        <v>33</v>
      </c>
      <c r="C14" t="s">
        <v>34</v>
      </c>
      <c r="D14" t="s">
        <v>22</v>
      </c>
      <c r="E14" t="s">
        <v>57</v>
      </c>
      <c r="F14" t="s">
        <v>58</v>
      </c>
      <c r="G14" t="s">
        <v>43</v>
      </c>
      <c r="H14">
        <v>22</v>
      </c>
      <c r="I14">
        <v>28</v>
      </c>
      <c r="J14">
        <f>SUMIFS(Sales_Transactions!$J:$J,Sales_Transactions!$C:$C,B14,Sales_Transactions!$F:$F,E14)</f>
        <v>9</v>
      </c>
      <c r="K14">
        <f t="shared" si="0"/>
        <v>41</v>
      </c>
      <c r="L14">
        <v>8</v>
      </c>
      <c r="M14">
        <v>20</v>
      </c>
      <c r="N14" t="str">
        <f t="shared" si="1"/>
        <v>Healthy</v>
      </c>
      <c r="O14">
        <v>46036</v>
      </c>
    </row>
    <row r="15" spans="1:26">
      <c r="A15" t="s">
        <v>244</v>
      </c>
      <c r="B15" t="s">
        <v>33</v>
      </c>
      <c r="C15" t="s">
        <v>34</v>
      </c>
      <c r="D15" t="s">
        <v>22</v>
      </c>
      <c r="E15" t="s">
        <v>35</v>
      </c>
      <c r="F15" t="s">
        <v>36</v>
      </c>
      <c r="G15" t="s">
        <v>37</v>
      </c>
      <c r="H15">
        <v>10</v>
      </c>
      <c r="I15">
        <v>19</v>
      </c>
      <c r="J15">
        <f>SUMIFS(Sales_Transactions!$J:$J,Sales_Transactions!$C:$C,B15,Sales_Transactions!$F:$F,E15)</f>
        <v>10</v>
      </c>
      <c r="K15">
        <f t="shared" si="0"/>
        <v>19</v>
      </c>
      <c r="L15">
        <v>8</v>
      </c>
      <c r="M15">
        <v>20</v>
      </c>
      <c r="N15" t="str">
        <f t="shared" si="1"/>
        <v>Healthy</v>
      </c>
      <c r="O15">
        <v>46033</v>
      </c>
    </row>
    <row r="16" spans="1:26">
      <c r="A16" t="s">
        <v>245</v>
      </c>
      <c r="B16" t="s">
        <v>33</v>
      </c>
      <c r="C16" t="s">
        <v>34</v>
      </c>
      <c r="D16" t="s">
        <v>22</v>
      </c>
      <c r="E16" t="s">
        <v>41</v>
      </c>
      <c r="F16" t="s">
        <v>42</v>
      </c>
      <c r="G16" t="s">
        <v>43</v>
      </c>
      <c r="H16">
        <v>28</v>
      </c>
      <c r="I16">
        <v>18</v>
      </c>
      <c r="J16">
        <f>SUMIFS(Sales_Transactions!$J:$J,Sales_Transactions!$C:$C,B16,Sales_Transactions!$F:$F,E16)</f>
        <v>9</v>
      </c>
      <c r="K16">
        <f t="shared" si="0"/>
        <v>37</v>
      </c>
      <c r="L16">
        <v>8</v>
      </c>
      <c r="M16">
        <v>20</v>
      </c>
      <c r="N16" t="str">
        <f t="shared" si="1"/>
        <v>Healthy</v>
      </c>
      <c r="O16">
        <v>46155</v>
      </c>
    </row>
    <row r="17" spans="1:15">
      <c r="A17" t="s">
        <v>246</v>
      </c>
      <c r="B17" t="s">
        <v>33</v>
      </c>
      <c r="C17" t="s">
        <v>34</v>
      </c>
      <c r="D17" t="s">
        <v>46</v>
      </c>
      <c r="E17" t="s">
        <v>47</v>
      </c>
      <c r="F17" t="s">
        <v>48</v>
      </c>
      <c r="G17" t="s">
        <v>49</v>
      </c>
      <c r="H17">
        <v>9</v>
      </c>
      <c r="I17">
        <v>6</v>
      </c>
      <c r="J17">
        <f>SUMIFS(Sales_Transactions!$J:$J,Sales_Transactions!$C:$C,B17,Sales_Transactions!$F:$F,E17)</f>
        <v>9</v>
      </c>
      <c r="K17">
        <f t="shared" si="0"/>
        <v>6</v>
      </c>
      <c r="L17">
        <v>3</v>
      </c>
      <c r="M17">
        <v>6</v>
      </c>
      <c r="N17" t="str">
        <f t="shared" si="1"/>
        <v>Healthy</v>
      </c>
      <c r="O17">
        <v>46035</v>
      </c>
    </row>
    <row r="18" spans="1:15">
      <c r="A18" t="s">
        <v>247</v>
      </c>
      <c r="B18" t="s">
        <v>33</v>
      </c>
      <c r="C18" t="s">
        <v>34</v>
      </c>
      <c r="D18" t="s">
        <v>46</v>
      </c>
      <c r="E18" t="s">
        <v>62</v>
      </c>
      <c r="F18" t="s">
        <v>63</v>
      </c>
      <c r="G18" t="s">
        <v>49</v>
      </c>
      <c r="H18">
        <v>3</v>
      </c>
      <c r="I18">
        <v>7</v>
      </c>
      <c r="J18">
        <f>SUMIFS(Sales_Transactions!$J:$J,Sales_Transactions!$C:$C,B18,Sales_Transactions!$F:$F,E18)</f>
        <v>11</v>
      </c>
      <c r="K18">
        <f t="shared" si="0"/>
        <v>-1</v>
      </c>
      <c r="L18">
        <v>3</v>
      </c>
      <c r="M18">
        <v>6</v>
      </c>
      <c r="N18" t="str">
        <f t="shared" si="1"/>
        <v>Reorder Needed</v>
      </c>
      <c r="O18">
        <v>46073</v>
      </c>
    </row>
    <row r="19" spans="1:15">
      <c r="A19" t="s">
        <v>248</v>
      </c>
      <c r="B19" t="s">
        <v>33</v>
      </c>
      <c r="C19" t="s">
        <v>34</v>
      </c>
      <c r="D19" t="s">
        <v>46</v>
      </c>
      <c r="E19" t="s">
        <v>84</v>
      </c>
      <c r="F19" t="s">
        <v>85</v>
      </c>
      <c r="G19" t="s">
        <v>49</v>
      </c>
      <c r="H19">
        <v>10</v>
      </c>
      <c r="I19">
        <v>7</v>
      </c>
      <c r="J19">
        <f>SUMIFS(Sales_Transactions!$J:$J,Sales_Transactions!$C:$C,B19,Sales_Transactions!$F:$F,E19)</f>
        <v>21</v>
      </c>
      <c r="K19">
        <f t="shared" si="0"/>
        <v>-4</v>
      </c>
      <c r="L19">
        <v>3</v>
      </c>
      <c r="M19">
        <v>6</v>
      </c>
      <c r="N19" t="str">
        <f t="shared" si="1"/>
        <v>Reorder Needed</v>
      </c>
      <c r="O19">
        <v>46036</v>
      </c>
    </row>
    <row r="20" spans="1:15">
      <c r="A20" t="s">
        <v>249</v>
      </c>
      <c r="B20" t="s">
        <v>33</v>
      </c>
      <c r="C20" t="s">
        <v>34</v>
      </c>
      <c r="D20" t="s">
        <v>46</v>
      </c>
      <c r="E20" t="s">
        <v>51</v>
      </c>
      <c r="F20" t="s">
        <v>52</v>
      </c>
      <c r="G20" t="s">
        <v>49</v>
      </c>
      <c r="H20">
        <v>4</v>
      </c>
      <c r="I20">
        <v>5</v>
      </c>
      <c r="J20">
        <f>SUMIFS(Sales_Transactions!$J:$J,Sales_Transactions!$C:$C,B20,Sales_Transactions!$F:$F,E20)</f>
        <v>10</v>
      </c>
      <c r="K20">
        <f t="shared" si="0"/>
        <v>-1</v>
      </c>
      <c r="L20">
        <v>3</v>
      </c>
      <c r="M20">
        <v>6</v>
      </c>
      <c r="N20" t="str">
        <f t="shared" si="1"/>
        <v>Reorder Needed</v>
      </c>
      <c r="O20">
        <v>46131</v>
      </c>
    </row>
    <row r="21" spans="1:15">
      <c r="A21" t="s">
        <v>250</v>
      </c>
      <c r="B21" t="s">
        <v>33</v>
      </c>
      <c r="C21" t="s">
        <v>34</v>
      </c>
      <c r="D21" t="s">
        <v>46</v>
      </c>
      <c r="E21" t="s">
        <v>76</v>
      </c>
      <c r="F21" t="s">
        <v>77</v>
      </c>
      <c r="G21" t="s">
        <v>78</v>
      </c>
      <c r="H21">
        <v>9</v>
      </c>
      <c r="I21">
        <v>10</v>
      </c>
      <c r="J21">
        <f>SUMIFS(Sales_Transactions!$J:$J,Sales_Transactions!$C:$C,B21,Sales_Transactions!$F:$F,E21)</f>
        <v>12</v>
      </c>
      <c r="K21">
        <f t="shared" si="0"/>
        <v>7</v>
      </c>
      <c r="L21">
        <v>3</v>
      </c>
      <c r="M21">
        <v>6</v>
      </c>
      <c r="N21" t="str">
        <f t="shared" si="1"/>
        <v>Healthy</v>
      </c>
      <c r="O21">
        <v>46035</v>
      </c>
    </row>
  </sheetData>
  <conditionalFormatting sqref="N2:N100">
    <cfRule type="expression" dxfId="2" priority="1">
      <formula>$N2="Reorder Needed"</formula>
    </cfRule>
    <cfRule type="expression" dxfId="1" priority="2">
      <formula>$N2="Watch"</formula>
    </cfRule>
    <cfRule type="expression" dxfId="0" priority="3">
      <formula>$N2="Healthy"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"/>
  <sheetViews>
    <sheetView workbookViewId="0"/>
  </sheetViews>
  <sheetFormatPr baseColWidth="10" defaultColWidth="8.83203125" defaultRowHeight="15"/>
  <cols>
    <col min="1" max="1" width="9.6640625" customWidth="1"/>
    <col min="2" max="2" width="21.6640625" customWidth="1"/>
    <col min="3" max="3" width="10" customWidth="1"/>
    <col min="4" max="4" width="11.5" customWidth="1"/>
    <col min="5" max="5" width="12" customWidth="1"/>
    <col min="6" max="6" width="42" customWidth="1"/>
  </cols>
  <sheetData>
    <row r="1" spans="1:26" ht="37.25" customHeight="1">
      <c r="A1" s="1" t="s">
        <v>2</v>
      </c>
      <c r="B1" s="1" t="s">
        <v>3</v>
      </c>
      <c r="C1" s="1" t="s">
        <v>251</v>
      </c>
      <c r="D1" s="1" t="s">
        <v>252</v>
      </c>
      <c r="E1" s="1" t="s">
        <v>253</v>
      </c>
      <c r="F1" s="1" t="s">
        <v>254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20</v>
      </c>
      <c r="B2" t="s">
        <v>21</v>
      </c>
      <c r="C2" t="s">
        <v>255</v>
      </c>
      <c r="D2" t="s">
        <v>256</v>
      </c>
      <c r="E2" t="s">
        <v>257</v>
      </c>
      <c r="F2" t="s">
        <v>258</v>
      </c>
    </row>
    <row r="3" spans="1:26">
      <c r="A3" t="s">
        <v>33</v>
      </c>
      <c r="B3" t="s">
        <v>34</v>
      </c>
      <c r="C3" t="s">
        <v>259</v>
      </c>
      <c r="D3" t="s">
        <v>256</v>
      </c>
      <c r="E3" t="s">
        <v>257</v>
      </c>
      <c r="F3" t="s">
        <v>258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baseColWidth="10" defaultColWidth="8.83203125" defaultRowHeight="15"/>
  <cols>
    <col min="1" max="1" width="14.83203125" customWidth="1"/>
    <col min="2" max="2" width="80" customWidth="1"/>
  </cols>
  <sheetData>
    <row r="1" spans="1:26" ht="37.25" customHeight="1">
      <c r="A1" s="9" t="s">
        <v>260</v>
      </c>
      <c r="B1" s="9" t="s">
        <v>261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262</v>
      </c>
      <c r="B2" t="s">
        <v>263</v>
      </c>
    </row>
    <row r="3" spans="1:26">
      <c r="A3" t="s">
        <v>264</v>
      </c>
      <c r="B3" t="s">
        <v>265</v>
      </c>
    </row>
    <row r="4" spans="1:26">
      <c r="A4" t="s">
        <v>266</v>
      </c>
      <c r="B4" t="s">
        <v>267</v>
      </c>
    </row>
    <row r="5" spans="1:26">
      <c r="A5" t="s">
        <v>268</v>
      </c>
      <c r="B5" t="s">
        <v>269</v>
      </c>
    </row>
    <row r="6" spans="1:26">
      <c r="A6" t="s">
        <v>270</v>
      </c>
      <c r="B6" t="s">
        <v>271</v>
      </c>
    </row>
    <row r="7" spans="1:26">
      <c r="A7" t="s">
        <v>272</v>
      </c>
      <c r="B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Sales_Transactions</vt:lpstr>
      <vt:lpstr>Products</vt:lpstr>
      <vt:lpstr>Inventory</vt:lpstr>
      <vt:lpstr>Stores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Ritta De El Barche</cp:lastModifiedBy>
  <dcterms:modified xsi:type="dcterms:W3CDTF">2026-05-21T15:05:57Z</dcterms:modified>
</cp:coreProperties>
</file>